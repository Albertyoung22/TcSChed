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共用雲端硬碟\土城高中教務處\教務處（主任）\115配課表\體育班測試\"/>
    </mc:Choice>
  </mc:AlternateContent>
  <xr:revisionPtr revIDLastSave="0" documentId="13_ncr:1_{F915F111-23B0-45DA-A031-7E6A96879CA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國高中總表" sheetId="2" r:id="rId1"/>
    <sheet name="國中配課表" sheetId="1" r:id="rId2"/>
    <sheet name="高中配課表" sheetId="8" r:id="rId3"/>
    <sheet name="國中一覽表" sheetId="6" r:id="rId4"/>
    <sheet name="高中一覽表" sheetId="7" r:id="rId5"/>
  </sheets>
  <functionGroups builtInGroupCount="19"/>
  <definedNames>
    <definedName name="_xlnm._FilterDatabase" localSheetId="4" hidden="1">高中一覽表!$A$1:$E$200</definedName>
    <definedName name="_xlnm._FilterDatabase" localSheetId="2" hidden="1">高中配課表!$A$1</definedName>
    <definedName name="_xlnm._FilterDatabase" localSheetId="3" hidden="1">國中一覽表!$A$1:$E$238</definedName>
    <definedName name="_xlnm._FilterDatabase" localSheetId="1" hidden="1">國中配課表!$A$1</definedName>
    <definedName name="_xlnm._FilterDatabase" localSheetId="0" hidden="1">國高中總表!$A$3:$N$3</definedName>
  </definedNames>
  <calcPr calcId="191029"/>
</workbook>
</file>

<file path=xl/calcChain.xml><?xml version="1.0" encoding="utf-8"?>
<calcChain xmlns="http://schemas.openxmlformats.org/spreadsheetml/2006/main">
  <c r="E2" i="2" l="1"/>
  <c r="F2" i="2"/>
  <c r="G2" i="2"/>
  <c r="H2" i="2"/>
  <c r="I2" i="2"/>
  <c r="J2" i="2"/>
  <c r="K2" i="2"/>
  <c r="L2" i="2"/>
  <c r="M2" i="2"/>
  <c r="O40" i="2" l="1"/>
  <c r="O41" i="2"/>
  <c r="O42" i="2"/>
  <c r="O43" i="2"/>
  <c r="O44" i="2"/>
  <c r="O45" i="2"/>
  <c r="O46" i="2"/>
  <c r="O47" i="2"/>
  <c r="O48" i="2"/>
  <c r="O49" i="2"/>
  <c r="O50" i="2"/>
  <c r="O51" i="2"/>
  <c r="O52" i="2"/>
  <c r="G48" i="2"/>
  <c r="G7" i="2" l="1"/>
  <c r="G8" i="2"/>
  <c r="G9" i="2"/>
  <c r="G10" i="2"/>
  <c r="G11" i="2"/>
  <c r="G12" i="2"/>
  <c r="G13" i="2"/>
  <c r="G49" i="2"/>
  <c r="O38" i="2" l="1"/>
  <c r="O37" i="2"/>
  <c r="O36" i="2"/>
  <c r="O35" i="2"/>
  <c r="O39" i="2"/>
  <c r="G47" i="2" l="1"/>
  <c r="O30" i="2"/>
  <c r="G24" i="2"/>
  <c r="G25" i="2"/>
  <c r="G26" i="2"/>
  <c r="G27" i="2"/>
  <c r="G28" i="2"/>
  <c r="G29" i="2"/>
  <c r="G30" i="2"/>
  <c r="O6" i="2" l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3" i="2"/>
  <c r="O22" i="2"/>
  <c r="O24" i="2"/>
  <c r="O25" i="2"/>
  <c r="O26" i="2"/>
  <c r="O27" i="2"/>
  <c r="O28" i="2"/>
  <c r="O29" i="2"/>
  <c r="O31" i="2"/>
  <c r="O32" i="2"/>
  <c r="O33" i="2"/>
  <c r="O34" i="2"/>
  <c r="O53" i="2"/>
  <c r="O54" i="2"/>
  <c r="O55" i="2"/>
  <c r="O56" i="2"/>
  <c r="O57" i="2"/>
  <c r="O60" i="2"/>
  <c r="O61" i="2"/>
  <c r="O62" i="2"/>
  <c r="O64" i="2"/>
  <c r="G60" i="2" l="1"/>
  <c r="G61" i="2"/>
  <c r="G67" i="2"/>
  <c r="G68" i="2"/>
  <c r="G69" i="2"/>
  <c r="G70" i="2"/>
  <c r="G71" i="2"/>
  <c r="G72" i="2"/>
  <c r="G73" i="2"/>
  <c r="G74" i="2"/>
  <c r="G22" i="2" l="1"/>
  <c r="G23" i="2" l="1"/>
  <c r="G52" i="2" l="1"/>
  <c r="G53" i="2"/>
  <c r="G54" i="2"/>
  <c r="G55" i="2"/>
  <c r="G56" i="2"/>
  <c r="G57" i="2"/>
  <c r="G17" i="2" l="1"/>
  <c r="G42" i="2" l="1"/>
  <c r="AC25" i="1"/>
  <c r="G32" i="2"/>
  <c r="G4" i="2"/>
  <c r="G5" i="2"/>
  <c r="G6" i="2"/>
  <c r="G14" i="2"/>
  <c r="G15" i="2"/>
  <c r="G16" i="2"/>
  <c r="G18" i="2"/>
  <c r="G19" i="2"/>
  <c r="G20" i="2"/>
  <c r="G21" i="2"/>
  <c r="G37" i="2"/>
  <c r="G38" i="2"/>
  <c r="G39" i="2"/>
  <c r="G31" i="2"/>
  <c r="G40" i="2"/>
  <c r="G34" i="2"/>
  <c r="G35" i="2"/>
  <c r="G36" i="2"/>
  <c r="G41" i="2"/>
  <c r="G43" i="2"/>
  <c r="G44" i="2"/>
  <c r="G33" i="2"/>
  <c r="G46" i="2"/>
  <c r="W48" i="8"/>
  <c r="AJ42" i="8"/>
  <c r="AL36" i="8"/>
  <c r="S30" i="8"/>
  <c r="AD24" i="8"/>
  <c r="AD18" i="8"/>
  <c r="S12" i="8"/>
  <c r="AH5" i="8"/>
  <c r="AC15" i="1"/>
  <c r="AC5" i="1"/>
  <c r="O5" i="2" l="1"/>
  <c r="O4" i="2"/>
</calcChain>
</file>

<file path=xl/sharedStrings.xml><?xml version="1.0" encoding="utf-8"?>
<sst xmlns="http://schemas.openxmlformats.org/spreadsheetml/2006/main" count="3081" uniqueCount="704">
  <si>
    <t>職稱</t>
    <phoneticPr fontId="1" type="noConversion"/>
  </si>
  <si>
    <t>姓名</t>
    <phoneticPr fontId="1" type="noConversion"/>
  </si>
  <si>
    <t>科目</t>
    <phoneticPr fontId="1" type="noConversion"/>
  </si>
  <si>
    <t>基本節數</t>
    <phoneticPr fontId="1" type="noConversion"/>
  </si>
  <si>
    <t>行政減課</t>
    <phoneticPr fontId="1" type="noConversion"/>
  </si>
  <si>
    <t>應授時數</t>
    <phoneticPr fontId="1" type="noConversion"/>
  </si>
  <si>
    <t>實授</t>
    <phoneticPr fontId="1" type="noConversion"/>
  </si>
  <si>
    <t>國中授課</t>
    <phoneticPr fontId="1" type="noConversion"/>
  </si>
  <si>
    <t>高中授課</t>
    <phoneticPr fontId="1" type="noConversion"/>
  </si>
  <si>
    <t>備註</t>
    <phoneticPr fontId="1" type="noConversion"/>
  </si>
  <si>
    <t>教務主任</t>
  </si>
  <si>
    <t>輔導主任</t>
  </si>
  <si>
    <t>教學組長</t>
  </si>
  <si>
    <t>註冊組長</t>
  </si>
  <si>
    <t>吳侕芳</t>
  </si>
  <si>
    <t>衛生組長</t>
  </si>
  <si>
    <t>體育組長</t>
  </si>
  <si>
    <t>輔導組長</t>
  </si>
  <si>
    <t>資訊組長</t>
  </si>
  <si>
    <t>專任教師</t>
  </si>
  <si>
    <t>游貞維</t>
  </si>
  <si>
    <t>歷史</t>
    <phoneticPr fontId="1" type="noConversion"/>
  </si>
  <si>
    <t>數學</t>
    <phoneticPr fontId="1" type="noConversion"/>
  </si>
  <si>
    <t>地理</t>
    <phoneticPr fontId="1" type="noConversion"/>
  </si>
  <si>
    <t>童軍</t>
    <phoneticPr fontId="1" type="noConversion"/>
  </si>
  <si>
    <t>陳寶妃</t>
    <phoneticPr fontId="1" type="noConversion"/>
  </si>
  <si>
    <t>表演藝術</t>
    <phoneticPr fontId="1" type="noConversion"/>
  </si>
  <si>
    <t>理化</t>
    <phoneticPr fontId="1" type="noConversion"/>
  </si>
  <si>
    <t>國文</t>
    <phoneticPr fontId="1" type="noConversion"/>
  </si>
  <si>
    <t>英文</t>
    <phoneticPr fontId="1" type="noConversion"/>
  </si>
  <si>
    <t>公民</t>
    <phoneticPr fontId="1" type="noConversion"/>
  </si>
  <si>
    <t>總節數</t>
    <phoneticPr fontId="1" type="noConversion"/>
  </si>
  <si>
    <t>節數</t>
    <phoneticPr fontId="1" type="noConversion"/>
  </si>
  <si>
    <t>國文</t>
  </si>
  <si>
    <t>英文</t>
  </si>
  <si>
    <t>數學</t>
  </si>
  <si>
    <t>生物</t>
  </si>
  <si>
    <t>歷史</t>
  </si>
  <si>
    <t>地理</t>
  </si>
  <si>
    <t>體育</t>
  </si>
  <si>
    <t>音樂</t>
  </si>
  <si>
    <t>家政</t>
  </si>
  <si>
    <t>童軍</t>
  </si>
  <si>
    <t>輔導</t>
  </si>
  <si>
    <t>張世宗</t>
  </si>
  <si>
    <t>戴美倫</t>
  </si>
  <si>
    <t>鄭吉貿</t>
  </si>
  <si>
    <t>公民與社會</t>
  </si>
  <si>
    <t>林秋萍</t>
  </si>
  <si>
    <t>楊佩承</t>
  </si>
  <si>
    <t>陳憶緻</t>
  </si>
  <si>
    <t>林千鑫</t>
  </si>
  <si>
    <t>一年級</t>
    <phoneticPr fontId="1" type="noConversion"/>
  </si>
  <si>
    <t>二年級</t>
    <phoneticPr fontId="1" type="noConversion"/>
  </si>
  <si>
    <t>三年級</t>
    <phoneticPr fontId="1" type="noConversion"/>
  </si>
  <si>
    <t>理化</t>
  </si>
  <si>
    <t>蕭欣怡</t>
  </si>
  <si>
    <t>陳冠杏</t>
  </si>
  <si>
    <t>廖卿妃</t>
  </si>
  <si>
    <r>
      <t>班級</t>
    </r>
    <r>
      <rPr>
        <b/>
        <sz val="12"/>
        <color indexed="8"/>
        <rFont val="Arial"/>
        <family val="2"/>
      </rPr>
      <t>/</t>
    </r>
    <r>
      <rPr>
        <b/>
        <sz val="12"/>
        <color indexed="8"/>
        <rFont val="新細明體"/>
        <family val="1"/>
        <charset val="136"/>
      </rPr>
      <t>導師</t>
    </r>
  </si>
  <si>
    <t>課程名稱</t>
    <phoneticPr fontId="1" type="noConversion"/>
  </si>
  <si>
    <t>課程節數</t>
    <phoneticPr fontId="1" type="noConversion"/>
  </si>
  <si>
    <t>授課教師</t>
    <phoneticPr fontId="1" type="noConversion"/>
  </si>
  <si>
    <t>清單確認</t>
    <phoneticPr fontId="1" type="noConversion"/>
  </si>
  <si>
    <t/>
  </si>
  <si>
    <t>一年級</t>
    <phoneticPr fontId="1" type="noConversion"/>
  </si>
  <si>
    <t>節數</t>
    <phoneticPr fontId="1" type="noConversion"/>
  </si>
  <si>
    <t>一年級體育班</t>
    <phoneticPr fontId="1" type="noConversion"/>
  </si>
  <si>
    <t>三年級體育班</t>
    <phoneticPr fontId="1" type="noConversion"/>
  </si>
  <si>
    <t>二年級體育班</t>
    <phoneticPr fontId="1" type="noConversion"/>
  </si>
  <si>
    <t>班會</t>
  </si>
  <si>
    <t>社團活動</t>
  </si>
  <si>
    <t>唐藝秦</t>
  </si>
  <si>
    <t>編號</t>
    <phoneticPr fontId="1" type="noConversion"/>
  </si>
  <si>
    <t>修正後時數</t>
    <phoneticPr fontId="1" type="noConversion"/>
  </si>
  <si>
    <t>二年級自然組</t>
    <phoneticPr fontId="1" type="noConversion"/>
  </si>
  <si>
    <t>二年級社會組</t>
    <phoneticPr fontId="1" type="noConversion"/>
  </si>
  <si>
    <t>三年級自然組</t>
    <phoneticPr fontId="1" type="noConversion"/>
  </si>
  <si>
    <t>三年級社會組</t>
    <phoneticPr fontId="1" type="noConversion"/>
  </si>
  <si>
    <t>數學甲</t>
  </si>
  <si>
    <t>邱麗夙</t>
  </si>
  <si>
    <t>陳惠芬</t>
    <phoneticPr fontId="1" type="noConversion"/>
  </si>
  <si>
    <t>國中兼課</t>
    <phoneticPr fontId="1" type="noConversion"/>
  </si>
  <si>
    <t>高中兼課</t>
    <phoneticPr fontId="1" type="noConversion"/>
  </si>
  <si>
    <t>班級</t>
    <phoneticPr fontId="1" type="noConversion"/>
  </si>
  <si>
    <t>自然</t>
    <phoneticPr fontId="1" type="noConversion"/>
  </si>
  <si>
    <t>高一忠</t>
    <phoneticPr fontId="1" type="noConversion"/>
  </si>
  <si>
    <t>高一孝</t>
    <phoneticPr fontId="1" type="noConversion"/>
  </si>
  <si>
    <t>化學</t>
    <phoneticPr fontId="1" type="noConversion"/>
  </si>
  <si>
    <t>高二忠</t>
    <phoneticPr fontId="1" type="noConversion"/>
  </si>
  <si>
    <t>高二孝</t>
    <phoneticPr fontId="1" type="noConversion"/>
  </si>
  <si>
    <t>高三忠</t>
    <phoneticPr fontId="1" type="noConversion"/>
  </si>
  <si>
    <t>高三孝</t>
    <phoneticPr fontId="1" type="noConversion"/>
  </si>
  <si>
    <t>物理</t>
    <phoneticPr fontId="1" type="noConversion"/>
  </si>
  <si>
    <t>林柏宏</t>
  </si>
  <si>
    <t>郭姝欣</t>
  </si>
  <si>
    <t>輔導課</t>
    <phoneticPr fontId="1" type="noConversion"/>
  </si>
  <si>
    <t>輔導課</t>
    <phoneticPr fontId="1" type="noConversion"/>
  </si>
  <si>
    <t>潘麗雲</t>
  </si>
  <si>
    <t>體育</t>
    <phoneticPr fontId="1" type="noConversion"/>
  </si>
  <si>
    <t>涂世一</t>
  </si>
  <si>
    <t>美術</t>
    <phoneticPr fontId="1" type="noConversion"/>
  </si>
  <si>
    <t>家政</t>
    <phoneticPr fontId="1" type="noConversion"/>
  </si>
  <si>
    <t>楊多加</t>
  </si>
  <si>
    <t>運動學概論</t>
    <phoneticPr fontId="1" type="noConversion"/>
  </si>
  <si>
    <t>地理</t>
    <phoneticPr fontId="1" type="noConversion"/>
  </si>
  <si>
    <t>化學</t>
    <phoneticPr fontId="1" type="noConversion"/>
  </si>
  <si>
    <t>表演藝術</t>
  </si>
  <si>
    <t>社團老師</t>
  </si>
  <si>
    <t>陳嬿竹</t>
    <phoneticPr fontId="1" type="noConversion"/>
  </si>
  <si>
    <t>調飲社</t>
  </si>
  <si>
    <t>蔡秉晃</t>
  </si>
  <si>
    <t>蔡宏盟</t>
  </si>
  <si>
    <t>教練</t>
  </si>
  <si>
    <t>試務組長</t>
  </si>
  <si>
    <t>訓育組長</t>
  </si>
  <si>
    <t>生輔組長</t>
  </si>
  <si>
    <t>資料組長</t>
  </si>
  <si>
    <t>專任老師</t>
  </si>
  <si>
    <t>蔡康宏</t>
  </si>
  <si>
    <t>特教</t>
  </si>
  <si>
    <t>女壘</t>
  </si>
  <si>
    <t>兼課教師</t>
  </si>
  <si>
    <t>蔡英鈴</t>
    <phoneticPr fontId="1" type="noConversion"/>
  </si>
  <si>
    <t>英文</t>
    <phoneticPr fontId="1" type="noConversion"/>
  </si>
  <si>
    <t>王映禵</t>
    <phoneticPr fontId="1" type="noConversion"/>
  </si>
  <si>
    <t>蘇瑞梧</t>
    <phoneticPr fontId="1" type="noConversion"/>
  </si>
  <si>
    <t>汪雪憬</t>
    <phoneticPr fontId="1" type="noConversion"/>
  </si>
  <si>
    <t>林柏宏</t>
    <phoneticPr fontId="1" type="noConversion"/>
  </si>
  <si>
    <t>陳姿伊</t>
    <phoneticPr fontId="1" type="noConversion"/>
  </si>
  <si>
    <t>吳美枝</t>
    <phoneticPr fontId="1" type="noConversion"/>
  </si>
  <si>
    <t>國中滿10減1</t>
    <phoneticPr fontId="1" type="noConversion"/>
  </si>
  <si>
    <t>英語</t>
    <phoneticPr fontId="1" type="noConversion"/>
  </si>
  <si>
    <t>歷史</t>
    <phoneticPr fontId="1" type="noConversion"/>
  </si>
  <si>
    <t>生物</t>
    <phoneticPr fontId="1" type="noConversion"/>
  </si>
  <si>
    <t>音樂</t>
    <phoneticPr fontId="1" type="noConversion"/>
  </si>
  <si>
    <t>視覺藝術</t>
    <phoneticPr fontId="1" type="noConversion"/>
  </si>
  <si>
    <t>資訊科技</t>
    <phoneticPr fontId="1" type="noConversion"/>
  </si>
  <si>
    <t>生活科技</t>
    <phoneticPr fontId="1" type="noConversion"/>
  </si>
  <si>
    <t>家政</t>
    <phoneticPr fontId="1" type="noConversion"/>
  </si>
  <si>
    <t>輔導</t>
    <phoneticPr fontId="1" type="noConversion"/>
  </si>
  <si>
    <t>體育</t>
    <phoneticPr fontId="1" type="noConversion"/>
  </si>
  <si>
    <t>世界在我口袋</t>
    <phoneticPr fontId="1" type="noConversion"/>
  </si>
  <si>
    <t>本土語言</t>
    <phoneticPr fontId="1" type="noConversion"/>
  </si>
  <si>
    <t>英語</t>
    <phoneticPr fontId="1" type="noConversion"/>
  </si>
  <si>
    <t>歷史</t>
    <phoneticPr fontId="1" type="noConversion"/>
  </si>
  <si>
    <t>地理</t>
    <phoneticPr fontId="1" type="noConversion"/>
  </si>
  <si>
    <t>英語</t>
    <phoneticPr fontId="1" type="noConversion"/>
  </si>
  <si>
    <t>英語</t>
  </si>
  <si>
    <t>視覺藝術</t>
  </si>
  <si>
    <t>資訊科技</t>
  </si>
  <si>
    <t>世界在我口袋</t>
  </si>
  <si>
    <t>本土語言</t>
  </si>
  <si>
    <t>蘇瑞梧</t>
  </si>
  <si>
    <t>汪雪憬</t>
  </si>
  <si>
    <t>陳姿伊</t>
  </si>
  <si>
    <t>吳美枝</t>
  </si>
  <si>
    <t>陳惠芬</t>
  </si>
  <si>
    <t>化學</t>
  </si>
  <si>
    <t>化學</t>
    <phoneticPr fontId="1" type="noConversion"/>
  </si>
  <si>
    <t>生物</t>
    <phoneticPr fontId="1" type="noConversion"/>
  </si>
  <si>
    <t>家政</t>
    <phoneticPr fontId="1" type="noConversion"/>
  </si>
  <si>
    <t>體育</t>
    <phoneticPr fontId="1" type="noConversion"/>
  </si>
  <si>
    <t>科學實驗方法</t>
  </si>
  <si>
    <t>國文基礎力</t>
  </si>
  <si>
    <t>數學大突破</t>
  </si>
  <si>
    <t>週期課程</t>
    <phoneticPr fontId="1" type="noConversion"/>
  </si>
  <si>
    <t>特色活動</t>
    <phoneticPr fontId="1" type="noConversion"/>
  </si>
  <si>
    <t>戴嘉靚</t>
  </si>
  <si>
    <t>物理</t>
    <phoneticPr fontId="1" type="noConversion"/>
  </si>
  <si>
    <t>地球科學</t>
    <phoneticPr fontId="1" type="noConversion"/>
  </si>
  <si>
    <t>專項體能訓練</t>
    <phoneticPr fontId="1" type="noConversion"/>
  </si>
  <si>
    <t>專項技術訓練</t>
    <phoneticPr fontId="1" type="noConversion"/>
  </si>
  <si>
    <t>選手培訓</t>
    <phoneticPr fontId="1" type="noConversion"/>
  </si>
  <si>
    <t>梁念慈</t>
  </si>
  <si>
    <t>陳寶妃</t>
  </si>
  <si>
    <t>健康與護理</t>
    <phoneticPr fontId="1" type="noConversion"/>
  </si>
  <si>
    <t>蔡英鈴</t>
  </si>
  <si>
    <t>藝術生活</t>
    <phoneticPr fontId="1" type="noConversion"/>
  </si>
  <si>
    <t>鐘點檢核</t>
    <phoneticPr fontId="1" type="noConversion"/>
  </si>
  <si>
    <t>陳馨怡</t>
  </si>
  <si>
    <t>選手培訓</t>
  </si>
  <si>
    <t>社團活動</t>
    <phoneticPr fontId="1" type="noConversion"/>
  </si>
  <si>
    <t>&lt;==定位點，請勿刪除及修改</t>
    <phoneticPr fontId="1" type="noConversion"/>
  </si>
  <si>
    <t>班級/導師</t>
    <phoneticPr fontId="1" type="noConversion"/>
  </si>
  <si>
    <t>班級/導師</t>
    <phoneticPr fontId="1" type="noConversion"/>
  </si>
  <si>
    <t>&lt;==定位點，請勿刪除及修改</t>
    <phoneticPr fontId="1" type="noConversion"/>
  </si>
  <si>
    <t>班級/導師</t>
    <phoneticPr fontId="1" type="noConversion"/>
  </si>
  <si>
    <t>&lt;==定位點，請勿刪除及修改</t>
    <phoneticPr fontId="1" type="noConversion"/>
  </si>
  <si>
    <t>&lt;==定位點，請勿刪除及修改</t>
    <phoneticPr fontId="1" type="noConversion"/>
  </si>
  <si>
    <t>班級/導師</t>
    <phoneticPr fontId="1" type="noConversion"/>
  </si>
  <si>
    <t>隔週連堂</t>
    <phoneticPr fontId="1" type="noConversion"/>
  </si>
  <si>
    <t>學期</t>
    <phoneticPr fontId="1" type="noConversion"/>
  </si>
  <si>
    <t>國中滿10減1、協助學務校隊(-1)</t>
    <phoneticPr fontId="1" type="noConversion"/>
  </si>
  <si>
    <t>歷史</t>
    <phoneticPr fontId="1" type="noConversion"/>
  </si>
  <si>
    <t>加強班</t>
    <phoneticPr fontId="1" type="noConversion"/>
  </si>
  <si>
    <t>*1</t>
  </si>
  <si>
    <t>*1</t>
    <phoneticPr fontId="1" type="noConversion"/>
  </si>
  <si>
    <t>運動兼課共授</t>
    <phoneticPr fontId="1" type="noConversion"/>
  </si>
  <si>
    <t>*1</t>
    <phoneticPr fontId="1" type="noConversion"/>
  </si>
  <si>
    <t>No List</t>
  </si>
  <si>
    <t>技藝</t>
    <phoneticPr fontId="1" type="noConversion"/>
  </si>
  <si>
    <t>體育授課</t>
    <phoneticPr fontId="1" type="noConversion"/>
  </si>
  <si>
    <t>特殊需求</t>
    <phoneticPr fontId="1" type="noConversion"/>
  </si>
  <si>
    <t>數學A</t>
    <phoneticPr fontId="1" type="noConversion"/>
  </si>
  <si>
    <t>物理地科協同</t>
    <phoneticPr fontId="1" type="noConversion"/>
  </si>
  <si>
    <t>力學一</t>
    <phoneticPr fontId="1" type="noConversion"/>
  </si>
  <si>
    <t>物質與能量</t>
    <phoneticPr fontId="1" type="noConversion"/>
  </si>
  <si>
    <t>微生物學</t>
    <phoneticPr fontId="1" type="noConversion"/>
  </si>
  <si>
    <t>國文深化力</t>
    <phoneticPr fontId="1" type="noConversion"/>
  </si>
  <si>
    <t>數學大補帖</t>
    <phoneticPr fontId="1" type="noConversion"/>
  </si>
  <si>
    <t>物理必選修</t>
    <phoneticPr fontId="1" type="noConversion"/>
  </si>
  <si>
    <t>化學必選修</t>
    <phoneticPr fontId="1" type="noConversion"/>
  </si>
  <si>
    <t>探究與實作A</t>
    <phoneticPr fontId="1" type="noConversion"/>
  </si>
  <si>
    <t>數學B</t>
    <phoneticPr fontId="1" type="noConversion"/>
  </si>
  <si>
    <t>與數B合開</t>
    <phoneticPr fontId="1" type="noConversion"/>
  </si>
  <si>
    <t>與數A合開</t>
    <phoneticPr fontId="1" type="noConversion"/>
  </si>
  <si>
    <t>歷史學探究</t>
  </si>
  <si>
    <t>公共議題與社會探究</t>
    <phoneticPr fontId="1" type="noConversion"/>
  </si>
  <si>
    <t>歷史必選修</t>
    <phoneticPr fontId="1" type="noConversion"/>
  </si>
  <si>
    <t>公民必選修</t>
    <phoneticPr fontId="1" type="noConversion"/>
  </si>
  <si>
    <t>自主學習</t>
    <phoneticPr fontId="1" type="noConversion"/>
  </si>
  <si>
    <t>愛台親江走天下</t>
  </si>
  <si>
    <t>愛台親江走天下</t>
    <phoneticPr fontId="1" type="noConversion"/>
  </si>
  <si>
    <t>從臺灣看天下</t>
  </si>
  <si>
    <t>從臺灣看天下</t>
    <phoneticPr fontId="1" type="noConversion"/>
  </si>
  <si>
    <t>黃慰華</t>
  </si>
  <si>
    <t>台江研究專題</t>
  </si>
  <si>
    <t>黃鈺茜</t>
  </si>
  <si>
    <t>吳昀蓁</t>
  </si>
  <si>
    <t>吳昀蓁</t>
    <phoneticPr fontId="1" type="noConversion"/>
  </si>
  <si>
    <t>班級自治活動</t>
    <phoneticPr fontId="1" type="noConversion"/>
  </si>
  <si>
    <t>班級自治活動</t>
  </si>
  <si>
    <t>生活科技</t>
  </si>
  <si>
    <t>*1</t>
    <phoneticPr fontId="1" type="noConversion"/>
  </si>
  <si>
    <t>公民與社會</t>
    <phoneticPr fontId="1" type="noConversion"/>
  </si>
  <si>
    <t>音樂</t>
    <phoneticPr fontId="1" type="noConversion"/>
  </si>
  <si>
    <t>美術</t>
    <phoneticPr fontId="1" type="noConversion"/>
  </si>
  <si>
    <t>生命教育</t>
    <phoneticPr fontId="1" type="noConversion"/>
  </si>
  <si>
    <t>英文閱讀與寫作</t>
    <phoneticPr fontId="1" type="noConversion"/>
  </si>
  <si>
    <t>波動、光與聲音</t>
    <phoneticPr fontId="1" type="noConversion"/>
  </si>
  <si>
    <t>電磁現象一</t>
    <phoneticPr fontId="1" type="noConversion"/>
  </si>
  <si>
    <t>化學反應與平衡一</t>
    <phoneticPr fontId="1" type="noConversion"/>
  </si>
  <si>
    <t>有機化學與應用科技</t>
    <phoneticPr fontId="1" type="noConversion"/>
  </si>
  <si>
    <t>公民學科素養題目探究</t>
    <phoneticPr fontId="1" type="noConversion"/>
  </si>
  <si>
    <t>生物面面觀</t>
    <phoneticPr fontId="1" type="noConversion"/>
  </si>
  <si>
    <t>地理素養議題探究</t>
    <phoneticPr fontId="1" type="noConversion"/>
  </si>
  <si>
    <t>物理進階課程</t>
    <phoneticPr fontId="1" type="noConversion"/>
  </si>
  <si>
    <t>國文統合力</t>
    <phoneticPr fontId="1" type="noConversion"/>
  </si>
  <si>
    <t>進階化學課程</t>
    <phoneticPr fontId="1" type="noConversion"/>
  </si>
  <si>
    <t>漸進英文寫作練習</t>
    <phoneticPr fontId="1" type="noConversion"/>
  </si>
  <si>
    <t>數學大進級</t>
    <phoneticPr fontId="1" type="noConversion"/>
  </si>
  <si>
    <t>歷史學科素養題目探究</t>
    <phoneticPr fontId="1" type="noConversion"/>
  </si>
  <si>
    <t>數學乙</t>
    <phoneticPr fontId="1" type="noConversion"/>
  </si>
  <si>
    <t>民主政治與法律</t>
    <phoneticPr fontId="1" type="noConversion"/>
  </si>
  <si>
    <t>社會環境議題</t>
    <phoneticPr fontId="1" type="noConversion"/>
  </si>
  <si>
    <t>地理</t>
    <phoneticPr fontId="1" type="noConversion"/>
  </si>
  <si>
    <t>公民與社會</t>
    <phoneticPr fontId="1" type="noConversion"/>
  </si>
  <si>
    <t>資訊科技</t>
    <phoneticPr fontId="1" type="noConversion"/>
  </si>
  <si>
    <t>英文</t>
    <phoneticPr fontId="1" type="noConversion"/>
  </si>
  <si>
    <t>全民國防教育</t>
    <phoneticPr fontId="1" type="noConversion"/>
  </si>
  <si>
    <t>健康教育</t>
    <phoneticPr fontId="1" type="noConversion"/>
  </si>
  <si>
    <t>彈性</t>
    <phoneticPr fontId="1" type="noConversion"/>
  </si>
  <si>
    <t>戴延諭</t>
  </si>
  <si>
    <t>張仕芳</t>
    <phoneticPr fontId="1" type="noConversion"/>
  </si>
  <si>
    <t>健康教育</t>
  </si>
  <si>
    <t>吳美枝</t>
    <phoneticPr fontId="1" type="noConversion"/>
  </si>
  <si>
    <t>唐藝秦</t>
    <phoneticPr fontId="1" type="noConversion"/>
  </si>
  <si>
    <t>張仕芳</t>
  </si>
  <si>
    <t>數學萬花筒</t>
  </si>
  <si>
    <t>彈性</t>
  </si>
  <si>
    <t>英文閱讀與寫作</t>
  </si>
  <si>
    <t>時事英文</t>
  </si>
  <si>
    <t>國文統合力</t>
  </si>
  <si>
    <t>物理進階課程</t>
  </si>
  <si>
    <t>健康與休閒生活</t>
  </si>
  <si>
    <t>數學科充實課程</t>
  </si>
  <si>
    <t>運動與健康</t>
  </si>
  <si>
    <t>x</t>
    <phoneticPr fontId="1" type="noConversion"/>
  </si>
  <si>
    <t>專項體能訓練</t>
  </si>
  <si>
    <t>陳景昇</t>
  </si>
  <si>
    <t>專項技術訓練</t>
  </si>
  <si>
    <t>數學演習</t>
  </si>
  <si>
    <t>第一組</t>
    <phoneticPr fontId="1" type="noConversion"/>
  </si>
  <si>
    <t>第二組</t>
    <phoneticPr fontId="1" type="noConversion"/>
  </si>
  <si>
    <t>第三組</t>
    <phoneticPr fontId="1" type="noConversion"/>
  </si>
  <si>
    <t>生態、演化與生物多樣性</t>
  </si>
  <si>
    <t>王淑誼</t>
  </si>
  <si>
    <t>葉品宏</t>
  </si>
  <si>
    <t>大氣、海洋與天文</t>
  </si>
  <si>
    <t>戴琮諺</t>
  </si>
  <si>
    <t>英文必選修</t>
  </si>
  <si>
    <t>英文必選修</t>
    <phoneticPr fontId="1" type="noConversion"/>
  </si>
  <si>
    <t>數學必選修</t>
    <phoneticPr fontId="1" type="noConversion"/>
  </si>
  <si>
    <t>地理必選修</t>
    <phoneticPr fontId="1" type="noConversion"/>
  </si>
  <si>
    <t>健體必選修</t>
  </si>
  <si>
    <t>健體必選修</t>
    <phoneticPr fontId="1" type="noConversion"/>
  </si>
  <si>
    <t>張寧</t>
  </si>
  <si>
    <t>秘書</t>
  </si>
  <si>
    <t>國中理化</t>
  </si>
  <si>
    <t>高中物理</t>
  </si>
  <si>
    <t>學務主任</t>
  </si>
  <si>
    <t>總務主任</t>
  </si>
  <si>
    <t>陳嬿竹</t>
  </si>
  <si>
    <t>國中輔導</t>
  </si>
  <si>
    <t>圖書主任</t>
  </si>
  <si>
    <t>國中英語</t>
  </si>
  <si>
    <t>國中主任</t>
  </si>
  <si>
    <t>國中家政</t>
  </si>
  <si>
    <t>高中數學</t>
  </si>
  <si>
    <t>設備組長</t>
  </si>
  <si>
    <t>國中數學</t>
  </si>
  <si>
    <t>高中化學</t>
  </si>
  <si>
    <t>高中國文</t>
  </si>
  <si>
    <t>國中國文</t>
  </si>
  <si>
    <t>高中體育</t>
  </si>
  <si>
    <t>國中地理</t>
  </si>
  <si>
    <t>國中資訊</t>
  </si>
  <si>
    <t>國中歷史</t>
  </si>
  <si>
    <t>國中表藝</t>
  </si>
  <si>
    <t>1-3導師</t>
  </si>
  <si>
    <t>2-1導師</t>
  </si>
  <si>
    <t>國中美術</t>
  </si>
  <si>
    <t>2-2導師</t>
  </si>
  <si>
    <t>國中童軍</t>
  </si>
  <si>
    <t>3-1導師</t>
  </si>
  <si>
    <t>3-2導師</t>
  </si>
  <si>
    <t>謝又安</t>
  </si>
  <si>
    <t>國中體育</t>
  </si>
  <si>
    <t>國中音樂</t>
  </si>
  <si>
    <t>一忠導師</t>
  </si>
  <si>
    <t>一孝導師</t>
  </si>
  <si>
    <t>高中英文</t>
  </si>
  <si>
    <t>一仁導師</t>
  </si>
  <si>
    <t>二忠導師</t>
  </si>
  <si>
    <t>二孝導師</t>
  </si>
  <si>
    <t>高中歷史</t>
  </si>
  <si>
    <t>二仁導師</t>
  </si>
  <si>
    <t>高中地理</t>
  </si>
  <si>
    <t>林蔚松</t>
  </si>
  <si>
    <t>高中地科</t>
  </si>
  <si>
    <t>高中生物</t>
  </si>
  <si>
    <t>高中輔導</t>
  </si>
  <si>
    <t>謝佩涓</t>
  </si>
  <si>
    <t>划船</t>
  </si>
  <si>
    <t>劉妍廷</t>
  </si>
  <si>
    <t>輕艇</t>
  </si>
  <si>
    <t>代課教練</t>
  </si>
  <si>
    <t>吳佳育</t>
  </si>
  <si>
    <t>國中生科</t>
  </si>
  <si>
    <t>高中日語</t>
  </si>
  <si>
    <t>桌羽球</t>
  </si>
  <si>
    <t>魔術</t>
  </si>
  <si>
    <t>吉他</t>
  </si>
  <si>
    <t>本土語文/閩南語</t>
  </si>
  <si>
    <t>本土語文/臺灣手語</t>
  </si>
  <si>
    <t>本土語文/客語</t>
  </si>
  <si>
    <t>邵書琴</t>
  </si>
  <si>
    <t>閱讀大觀園</t>
  </si>
  <si>
    <t>初階日語</t>
  </si>
  <si>
    <t>陸上運動我的信仰</t>
  </si>
  <si>
    <t>國際觀培養</t>
  </si>
  <si>
    <t>陳玉霜</t>
  </si>
  <si>
    <t>生活科技</t>
    <phoneticPr fontId="1" type="noConversion"/>
  </si>
  <si>
    <t>資訊科技</t>
    <phoneticPr fontId="1" type="noConversion"/>
  </si>
  <si>
    <t>音樂</t>
    <phoneticPr fontId="1" type="noConversion"/>
  </si>
  <si>
    <t>動物體的構造與功能</t>
  </si>
  <si>
    <t>運動科學概論</t>
  </si>
  <si>
    <t>族群性別與國家的歷史</t>
  </si>
  <si>
    <t>細胞與遺傳</t>
  </si>
  <si>
    <t>歷史學科素養題目探究</t>
  </si>
  <si>
    <t>本土語</t>
  </si>
  <si>
    <t>本土語</t>
    <phoneticPr fontId="1" type="noConversion"/>
  </si>
  <si>
    <t>學習扶助</t>
    <phoneticPr fontId="1" type="noConversion"/>
  </si>
  <si>
    <t>體育班</t>
    <phoneticPr fontId="1" type="noConversion"/>
  </si>
  <si>
    <t>張惠俞</t>
  </si>
  <si>
    <t>張惠俞</t>
    <phoneticPr fontId="1" type="noConversion"/>
  </si>
  <si>
    <t>林蔚松</t>
    <phoneticPr fontId="1" type="noConversion"/>
  </si>
  <si>
    <t>自主學習</t>
  </si>
  <si>
    <t>廖卿妃</t>
    <phoneticPr fontId="1" type="noConversion"/>
  </si>
  <si>
    <t>張惟珽</t>
  </si>
  <si>
    <t>英文表達力培養</t>
    <phoneticPr fontId="1" type="noConversion"/>
  </si>
  <si>
    <t>梁念慈</t>
    <phoneticPr fontId="1" type="noConversion"/>
  </si>
  <si>
    <t>陶正忠</t>
  </si>
  <si>
    <t>戴嘉靚</t>
    <phoneticPr fontId="1" type="noConversion"/>
  </si>
  <si>
    <t>陳玉霜</t>
    <phoneticPr fontId="47" type="noConversion"/>
  </si>
  <si>
    <t>全民國防</t>
    <phoneticPr fontId="47" type="noConversion"/>
  </si>
  <si>
    <t>教支人員</t>
    <phoneticPr fontId="47" type="noConversion"/>
  </si>
  <si>
    <t>林秋琴</t>
    <phoneticPr fontId="47" type="noConversion"/>
  </si>
  <si>
    <t>布農</t>
    <phoneticPr fontId="47" type="noConversion"/>
  </si>
  <si>
    <t>教支人員</t>
    <phoneticPr fontId="47" type="noConversion"/>
  </si>
  <si>
    <t>邵書琴</t>
    <phoneticPr fontId="47" type="noConversion"/>
  </si>
  <si>
    <t>臺灣手語</t>
    <phoneticPr fontId="47" type="noConversion"/>
  </si>
  <si>
    <t>文學中的理性與感性</t>
    <phoneticPr fontId="1" type="noConversion"/>
  </si>
  <si>
    <t>黃雅琪</t>
  </si>
  <si>
    <t>孫蜂揮</t>
  </si>
  <si>
    <t>生物必選修</t>
    <phoneticPr fontId="1" type="noConversion"/>
  </si>
  <si>
    <t>藝術必選修</t>
    <phoneticPr fontId="1" type="noConversion"/>
  </si>
  <si>
    <t>彈性(補強)</t>
    <phoneticPr fontId="1" type="noConversion"/>
  </si>
  <si>
    <t>蕭欣怡</t>
    <phoneticPr fontId="1" type="noConversion"/>
  </si>
  <si>
    <t>實用文學寫作</t>
    <phoneticPr fontId="1" type="noConversion"/>
  </si>
  <si>
    <t>機器人專題</t>
    <phoneticPr fontId="1" type="noConversion"/>
  </si>
  <si>
    <t>x</t>
  </si>
  <si>
    <t>多元選修</t>
    <phoneticPr fontId="1" type="noConversion"/>
  </si>
  <si>
    <t>多元選修1</t>
    <phoneticPr fontId="1" type="noConversion"/>
  </si>
  <si>
    <t>運動生理學</t>
  </si>
  <si>
    <t>運動生理學</t>
    <phoneticPr fontId="1" type="noConversion"/>
  </si>
  <si>
    <t>體育班專項</t>
    <phoneticPr fontId="1" type="noConversion"/>
  </si>
  <si>
    <t>體育班特殊</t>
    <phoneticPr fontId="1" type="noConversion"/>
  </si>
  <si>
    <t>普通班</t>
    <phoneticPr fontId="1" type="noConversion"/>
  </si>
  <si>
    <t>新興運動-城中很好玩</t>
  </si>
  <si>
    <t>新興運動-城中很好玩</t>
    <phoneticPr fontId="1" type="noConversion"/>
  </si>
  <si>
    <t>世界美食地圖</t>
  </si>
  <si>
    <t>世界美食地圖</t>
    <phoneticPr fontId="1" type="noConversion"/>
  </si>
  <si>
    <t>本土語文/臺灣手語協同</t>
    <phoneticPr fontId="1" type="noConversion"/>
  </si>
  <si>
    <t>本土語文/臺灣手語協同</t>
  </si>
  <si>
    <t>2-3導師</t>
    <phoneticPr fontId="1" type="noConversion"/>
  </si>
  <si>
    <t>藝術與生活</t>
    <phoneticPr fontId="1" type="noConversion"/>
  </si>
  <si>
    <t>劉顓瑋</t>
    <phoneticPr fontId="1" type="noConversion"/>
  </si>
  <si>
    <t>楊敦州</t>
  </si>
  <si>
    <t>楊敦州</t>
    <phoneticPr fontId="1" type="noConversion"/>
  </si>
  <si>
    <t>國中資訊</t>
    <phoneticPr fontId="1" type="noConversion"/>
  </si>
  <si>
    <t>高中公民</t>
    <phoneticPr fontId="1" type="noConversion"/>
  </si>
  <si>
    <t>歷史團(-5)</t>
    <phoneticPr fontId="1" type="noConversion"/>
  </si>
  <si>
    <t>多元選修</t>
  </si>
  <si>
    <t>射箭</t>
    <phoneticPr fontId="1" type="noConversion"/>
  </si>
  <si>
    <t>國樂</t>
    <phoneticPr fontId="1" type="noConversion"/>
  </si>
  <si>
    <t>運動賽事賞析</t>
    <phoneticPr fontId="1" type="noConversion"/>
  </si>
  <si>
    <t>街舞</t>
    <phoneticPr fontId="1" type="noConversion"/>
  </si>
  <si>
    <t>機器人</t>
    <phoneticPr fontId="1" type="noConversion"/>
  </si>
  <si>
    <t>爵士鼓</t>
    <phoneticPr fontId="1" type="noConversion"/>
  </si>
  <si>
    <t>楊承翰</t>
    <phoneticPr fontId="1" type="noConversion"/>
  </si>
  <si>
    <t>熱音</t>
    <phoneticPr fontId="1" type="noConversion"/>
  </si>
  <si>
    <t>陸昕慈</t>
    <phoneticPr fontId="1" type="noConversion"/>
  </si>
  <si>
    <t>文史觀光研究</t>
    <phoneticPr fontId="1" type="noConversion"/>
  </si>
  <si>
    <t>公民</t>
    <phoneticPr fontId="1" type="noConversion"/>
  </si>
  <si>
    <t>有品閱讀</t>
  </si>
  <si>
    <t>有品閱讀</t>
    <phoneticPr fontId="1" type="noConversion"/>
  </si>
  <si>
    <t>呂明蔘</t>
  </si>
  <si>
    <t>協助學務訓育(-2)、數位學習(-1)</t>
    <phoneticPr fontId="1" type="noConversion"/>
  </si>
  <si>
    <t>選手培訓</t>
    <phoneticPr fontId="1" type="noConversion"/>
  </si>
  <si>
    <t>隔週連堂</t>
    <phoneticPr fontId="1" type="noConversion"/>
  </si>
  <si>
    <t>吳佳育</t>
    <phoneticPr fontId="1" type="noConversion"/>
  </si>
  <si>
    <t>鄭吉貿</t>
    <phoneticPr fontId="1" type="noConversion"/>
  </si>
  <si>
    <t>劉祐霖</t>
    <phoneticPr fontId="1" type="noConversion"/>
  </si>
  <si>
    <t>數學必選修</t>
  </si>
  <si>
    <t>物理必選修</t>
  </si>
  <si>
    <t>化學必選修</t>
  </si>
  <si>
    <t>地質與環境</t>
  </si>
  <si>
    <t>科技應用專題</t>
  </si>
  <si>
    <t>進階化學實驗技能</t>
  </si>
  <si>
    <t>第一組</t>
  </si>
  <si>
    <t>第二組</t>
  </si>
  <si>
    <t>第三組</t>
  </si>
  <si>
    <t>多元選修1</t>
  </si>
  <si>
    <t>3-3導師</t>
  </si>
  <si>
    <t>陳馨怡</t>
    <phoneticPr fontId="1" type="noConversion"/>
  </si>
  <si>
    <t>輔導老師</t>
  </si>
  <si>
    <t>運動學概論</t>
  </si>
  <si>
    <t>三忠導師</t>
    <phoneticPr fontId="1" type="noConversion"/>
  </si>
  <si>
    <t>三孝導師</t>
    <phoneticPr fontId="1" type="noConversion"/>
  </si>
  <si>
    <t>三仁導師</t>
    <phoneticPr fontId="1" type="noConversion"/>
  </si>
  <si>
    <t>藝術與生活</t>
  </si>
  <si>
    <t>全民國防教育</t>
  </si>
  <si>
    <t>體發會召集人(-2)</t>
    <phoneticPr fontId="1" type="noConversion"/>
  </si>
  <si>
    <t>林秋萍</t>
    <phoneticPr fontId="1" type="noConversion"/>
  </si>
  <si>
    <t>楊佩承</t>
    <phoneticPr fontId="1" type="noConversion"/>
  </si>
  <si>
    <t>戴延諭</t>
    <phoneticPr fontId="1" type="noConversion"/>
  </si>
  <si>
    <t>高中英文</t>
    <phoneticPr fontId="1" type="noConversion"/>
  </si>
  <si>
    <t>114學年度第一學期</t>
    <phoneticPr fontId="1" type="noConversion"/>
  </si>
  <si>
    <t>健康與休閒生活</t>
    <phoneticPr fontId="1" type="noConversion"/>
  </si>
  <si>
    <t>孫佳宏</t>
  </si>
  <si>
    <t>孫佳宏</t>
    <phoneticPr fontId="1" type="noConversion"/>
  </si>
  <si>
    <t>謝明訓</t>
  </si>
  <si>
    <t>謝明訓</t>
    <phoneticPr fontId="1" type="noConversion"/>
  </si>
  <si>
    <t>國中國文</t>
    <phoneticPr fontId="1" type="noConversion"/>
  </si>
  <si>
    <t>國中英文</t>
    <phoneticPr fontId="1" type="noConversion"/>
  </si>
  <si>
    <t>代理教師</t>
    <phoneticPr fontId="1" type="noConversion"/>
  </si>
  <si>
    <t>杜鴻秋</t>
  </si>
  <si>
    <t>杜鴻秋</t>
    <phoneticPr fontId="1" type="noConversion"/>
  </si>
  <si>
    <t>黃思樺</t>
    <phoneticPr fontId="1" type="noConversion"/>
  </si>
  <si>
    <t>杜鴻秋</t>
    <phoneticPr fontId="1" type="noConversion"/>
  </si>
  <si>
    <t>閩南語</t>
    <phoneticPr fontId="47" type="noConversion"/>
  </si>
  <si>
    <t>吳佩蓁</t>
  </si>
  <si>
    <t>吳佩蓁</t>
    <phoneticPr fontId="1" type="noConversion"/>
  </si>
  <si>
    <t>劉尚澄</t>
  </si>
  <si>
    <t>劉尚澄</t>
    <phoneticPr fontId="1" type="noConversion"/>
  </si>
  <si>
    <t>陶正忠</t>
    <phoneticPr fontId="1" type="noConversion"/>
  </si>
  <si>
    <t>戴琮諺</t>
    <phoneticPr fontId="1" type="noConversion"/>
  </si>
  <si>
    <t>陳嘉元</t>
  </si>
  <si>
    <t>陳嘉元</t>
    <phoneticPr fontId="1" type="noConversion"/>
  </si>
  <si>
    <t>潘麗雲</t>
    <phoneticPr fontId="1" type="noConversion"/>
  </si>
  <si>
    <t>蔡秉晃</t>
    <phoneticPr fontId="1" type="noConversion"/>
  </si>
  <si>
    <t>董昱彣</t>
    <phoneticPr fontId="1" type="noConversion"/>
  </si>
  <si>
    <t>運動科學與防護社</t>
    <phoneticPr fontId="1" type="noConversion"/>
  </si>
  <si>
    <t>張世宗</t>
    <phoneticPr fontId="1" type="noConversion"/>
  </si>
  <si>
    <t>陳冠杏</t>
    <phoneticPr fontId="1" type="noConversion"/>
  </si>
  <si>
    <t>陳景昇</t>
    <phoneticPr fontId="1" type="noConversion"/>
  </si>
  <si>
    <t>林詩婷</t>
    <phoneticPr fontId="1" type="noConversion"/>
  </si>
  <si>
    <t>女壘</t>
    <phoneticPr fontId="1" type="noConversion"/>
  </si>
  <si>
    <t>王映緹</t>
  </si>
  <si>
    <t>王映緹</t>
    <phoneticPr fontId="1" type="noConversion"/>
  </si>
  <si>
    <r>
      <t>114學年第一學期</t>
    </r>
    <r>
      <rPr>
        <b/>
        <sz val="16"/>
        <color rgb="FFFF0000"/>
        <rFont val="微軟正黑體"/>
        <family val="2"/>
        <charset val="136"/>
      </rPr>
      <t>國中部</t>
    </r>
    <r>
      <rPr>
        <b/>
        <sz val="16"/>
        <color indexed="18"/>
        <rFont val="微軟正黑體"/>
        <family val="2"/>
        <charset val="136"/>
      </rPr>
      <t>配課表</t>
    </r>
    <phoneticPr fontId="1" type="noConversion"/>
  </si>
  <si>
    <t>陳嘉元</t>
    <phoneticPr fontId="1" type="noConversion"/>
  </si>
  <si>
    <t>籃球</t>
    <phoneticPr fontId="1" type="noConversion"/>
  </si>
  <si>
    <t>1-2導師</t>
    <phoneticPr fontId="1" type="noConversion"/>
  </si>
  <si>
    <t>1-1導師</t>
    <phoneticPr fontId="1" type="noConversion"/>
  </si>
  <si>
    <t>新媒體藝術</t>
    <phoneticPr fontId="1" type="noConversion"/>
  </si>
  <si>
    <t>科技輔導團(-3)</t>
    <phoneticPr fontId="1" type="noConversion"/>
  </si>
  <si>
    <t>英語基礎聽力訓練</t>
    <phoneticPr fontId="1" type="noConversion"/>
  </si>
  <si>
    <t>課諮師(-1)</t>
    <phoneticPr fontId="1" type="noConversion"/>
  </si>
  <si>
    <t>課諮師(-2)</t>
    <phoneticPr fontId="1" type="noConversion"/>
  </si>
  <si>
    <t>數位學習(-1)</t>
    <phoneticPr fontId="1" type="noConversion"/>
  </si>
  <si>
    <t>雙語(-1)</t>
  </si>
  <si>
    <t>雙語(-1)</t>
    <phoneticPr fontId="1" type="noConversion"/>
  </si>
  <si>
    <t>協助體育組(-1)、雙語(-1)</t>
    <phoneticPr fontId="1" type="noConversion"/>
  </si>
  <si>
    <r>
      <rPr>
        <sz val="12"/>
        <rFont val="Microsoft JhengHei"/>
        <family val="2"/>
        <charset val="136"/>
      </rPr>
      <t>自然輔導團</t>
    </r>
    <r>
      <rPr>
        <sz val="12"/>
        <rFont val="Calibri"/>
        <family val="2"/>
      </rPr>
      <t>(-2)</t>
    </r>
    <r>
      <rPr>
        <sz val="12"/>
        <rFont val="Microsoft JhengHei"/>
        <family val="2"/>
        <charset val="136"/>
      </rPr>
      <t>、</t>
    </r>
    <r>
      <rPr>
        <sz val="12"/>
        <rFont val="微軟正黑體"/>
        <family val="2"/>
        <charset val="136"/>
      </rPr>
      <t>雙語(-1)</t>
    </r>
    <phoneticPr fontId="1" type="noConversion"/>
  </si>
  <si>
    <t>人文社會專題製作</t>
    <phoneticPr fontId="1" type="noConversion"/>
  </si>
  <si>
    <t>基礎英語聽力強化</t>
    <phoneticPr fontId="1" type="noConversion"/>
  </si>
  <si>
    <t>英語基礎聽力訓練</t>
  </si>
  <si>
    <t>何佳洛</t>
    <phoneticPr fontId="1" type="noConversion"/>
  </si>
  <si>
    <t>葉又寧</t>
    <phoneticPr fontId="1" type="noConversion"/>
  </si>
  <si>
    <t>台江吃喝玩樂社</t>
    <phoneticPr fontId="1" type="noConversion"/>
  </si>
  <si>
    <t>社團-活動設計</t>
    <phoneticPr fontId="1" type="noConversion"/>
  </si>
  <si>
    <t>本土語文/原住民族語(布農)</t>
    <phoneticPr fontId="1" type="noConversion"/>
  </si>
  <si>
    <t>林秋琴</t>
    <phoneticPr fontId="1" type="noConversion"/>
  </si>
  <si>
    <t>雙語(-3)</t>
    <phoneticPr fontId="1" type="noConversion"/>
  </si>
  <si>
    <t>體育特殊需求
輕艇</t>
    <phoneticPr fontId="1" type="noConversion"/>
  </si>
  <si>
    <t>體育特殊需求
射箭</t>
    <phoneticPr fontId="1" type="noConversion"/>
  </si>
  <si>
    <t>體育特殊需求
女壘</t>
    <phoneticPr fontId="1" type="noConversion"/>
  </si>
  <si>
    <t>201林秋萍</t>
    <phoneticPr fontId="1" type="noConversion"/>
  </si>
  <si>
    <t>203吳佩蓁</t>
    <phoneticPr fontId="1" type="noConversion"/>
  </si>
  <si>
    <t>202楊佩承</t>
    <phoneticPr fontId="1" type="noConversion"/>
  </si>
  <si>
    <t>游貞維</t>
    <phoneticPr fontId="1" type="noConversion"/>
  </si>
  <si>
    <t>301游貞維</t>
    <phoneticPr fontId="1" type="noConversion"/>
  </si>
  <si>
    <t>302謝明訓</t>
    <phoneticPr fontId="1" type="noConversion"/>
  </si>
  <si>
    <t>謝又安</t>
    <phoneticPr fontId="1" type="noConversion"/>
  </si>
  <si>
    <t>303謝又安</t>
    <phoneticPr fontId="1" type="noConversion"/>
  </si>
  <si>
    <t>曹筱函</t>
    <phoneticPr fontId="1" type="noConversion"/>
  </si>
  <si>
    <r>
      <t>115學年第一學期</t>
    </r>
    <r>
      <rPr>
        <b/>
        <sz val="16"/>
        <color rgb="FFFF0000"/>
        <rFont val="微軟正黑體"/>
        <family val="2"/>
        <charset val="136"/>
      </rPr>
      <t>高中部</t>
    </r>
    <r>
      <rPr>
        <b/>
        <sz val="16"/>
        <color indexed="18"/>
        <rFont val="微軟正黑體"/>
        <family val="2"/>
        <charset val="136"/>
      </rPr>
      <t>配課表</t>
    </r>
    <phoneticPr fontId="1" type="noConversion"/>
  </si>
  <si>
    <t>投資理財趣</t>
    <phoneticPr fontId="1" type="noConversion"/>
  </si>
  <si>
    <t>生命教育</t>
  </si>
  <si>
    <t>生命教育</t>
    <phoneticPr fontId="1" type="noConversion"/>
  </si>
  <si>
    <t>運動賽會實務</t>
    <phoneticPr fontId="1" type="noConversion"/>
  </si>
  <si>
    <t>三忠陳姿伊</t>
  </si>
  <si>
    <t>三忠陳姿伊</t>
    <phoneticPr fontId="1" type="noConversion"/>
  </si>
  <si>
    <t>蔡英鈴</t>
    <phoneticPr fontId="1" type="noConversion"/>
  </si>
  <si>
    <t>三孝蔡英鈴</t>
  </si>
  <si>
    <t>三孝蔡英鈴</t>
    <phoneticPr fontId="1" type="noConversion"/>
  </si>
  <si>
    <t>王映緹</t>
    <phoneticPr fontId="1" type="noConversion"/>
  </si>
  <si>
    <t>三仁王映緹</t>
  </si>
  <si>
    <t>三仁王映緹</t>
    <phoneticPr fontId="1" type="noConversion"/>
  </si>
  <si>
    <t>二忠陳嬿竹</t>
  </si>
  <si>
    <t>二忠陳嬿竹</t>
    <phoneticPr fontId="1" type="noConversion"/>
  </si>
  <si>
    <t>蘇瑞梧</t>
    <phoneticPr fontId="1" type="noConversion"/>
  </si>
  <si>
    <t>二孝蘇瑞梧</t>
  </si>
  <si>
    <t>二孝蘇瑞梧</t>
    <phoneticPr fontId="1" type="noConversion"/>
  </si>
  <si>
    <t>戴延諭</t>
    <phoneticPr fontId="1" type="noConversion"/>
  </si>
  <si>
    <t>二仁戴延諭</t>
  </si>
  <si>
    <t>二仁戴延諭</t>
    <phoneticPr fontId="1" type="noConversion"/>
  </si>
  <si>
    <t>林柏宏</t>
    <phoneticPr fontId="1" type="noConversion"/>
  </si>
  <si>
    <t>一孝唐藝秦</t>
  </si>
  <si>
    <t>一孝唐藝秦</t>
    <phoneticPr fontId="1" type="noConversion"/>
  </si>
  <si>
    <t>一忠吳昀蓁</t>
  </si>
  <si>
    <t>一忠吳昀蓁</t>
    <phoneticPr fontId="1" type="noConversion"/>
  </si>
  <si>
    <t>探究與實作A</t>
  </si>
  <si>
    <t>微生物學</t>
  </si>
  <si>
    <t>文學中的理性與感性</t>
  </si>
  <si>
    <t>國文深化力</t>
  </si>
  <si>
    <t>數學大補帖</t>
  </si>
  <si>
    <t>基礎英語聽力強化</t>
  </si>
  <si>
    <t>人文社會專題製作</t>
  </si>
  <si>
    <t>英文表達力培養</t>
  </si>
  <si>
    <t>新媒體藝術</t>
  </si>
  <si>
    <t>機器人專題</t>
  </si>
  <si>
    <t>實用文學寫作</t>
  </si>
  <si>
    <t>數學大進級</t>
  </si>
  <si>
    <t>進階化學課程</t>
  </si>
  <si>
    <t>生物面面觀</t>
  </si>
  <si>
    <t>曹筱函</t>
  </si>
  <si>
    <t>體育特殊需求
射箭</t>
  </si>
  <si>
    <t>201林秋萍</t>
  </si>
  <si>
    <t>體育特殊需求
輕艇</t>
  </si>
  <si>
    <t>202楊佩承</t>
  </si>
  <si>
    <t>203吳佩蓁</t>
  </si>
  <si>
    <t>301游貞維</t>
  </si>
  <si>
    <t>體育特殊需求
女壘</t>
  </si>
  <si>
    <t>302謝明訓</t>
  </si>
  <si>
    <t>303謝又安</t>
  </si>
  <si>
    <t>楊多加</t>
    <phoneticPr fontId="1" type="noConversion"/>
  </si>
  <si>
    <t>一仁吳美枝</t>
    <phoneticPr fontId="1" type="noConversion"/>
  </si>
  <si>
    <t>國中數學</t>
    <phoneticPr fontId="1" type="noConversion"/>
  </si>
  <si>
    <t>陳惠芬</t>
    <phoneticPr fontId="1" type="noConversion"/>
  </si>
  <si>
    <t>謝旻勳</t>
  </si>
  <si>
    <t>謝旻勳</t>
    <phoneticPr fontId="1" type="noConversion"/>
  </si>
  <si>
    <t>103張寧</t>
  </si>
  <si>
    <t>103張寧</t>
    <phoneticPr fontId="1" type="noConversion"/>
  </si>
  <si>
    <t>地理</t>
    <phoneticPr fontId="1" type="noConversion"/>
  </si>
  <si>
    <t>一仁吳美枝</t>
  </si>
  <si>
    <t>協助教務高優(-2)</t>
    <phoneticPr fontId="1" type="noConversion"/>
  </si>
  <si>
    <t>謝旻勳</t>
    <phoneticPr fontId="1" type="noConversion"/>
  </si>
  <si>
    <t>黃冠寧</t>
  </si>
  <si>
    <t>黃冠寧</t>
    <phoneticPr fontId="1" type="noConversion"/>
  </si>
  <si>
    <t>徐毓君</t>
  </si>
  <si>
    <t>徐毓君</t>
    <phoneticPr fontId="1" type="noConversion"/>
  </si>
  <si>
    <t>徐毓君</t>
    <phoneticPr fontId="1" type="noConversion"/>
  </si>
  <si>
    <t>國中國文</t>
    <phoneticPr fontId="1" type="noConversion"/>
  </si>
  <si>
    <t>孫蜂揮</t>
    <phoneticPr fontId="1" type="noConversion"/>
  </si>
  <si>
    <t>卓言凌</t>
    <phoneticPr fontId="1" type="noConversion"/>
  </si>
  <si>
    <t>物質與能量</t>
  </si>
  <si>
    <t>本土語文/原住民族語(協同)</t>
    <phoneticPr fontId="1" type="noConversion"/>
  </si>
  <si>
    <t>龔泰源</t>
  </si>
  <si>
    <t>龔泰源</t>
    <phoneticPr fontId="1" type="noConversion"/>
  </si>
  <si>
    <t>運動賽會實務</t>
  </si>
  <si>
    <t>林詩婷</t>
  </si>
  <si>
    <t>102徐毓君</t>
  </si>
  <si>
    <t>102徐毓君</t>
    <phoneticPr fontId="1" type="noConversion"/>
  </si>
  <si>
    <t>101謝旻勳</t>
  </si>
  <si>
    <t>101謝旻勳</t>
    <phoneticPr fontId="1" type="noConversion"/>
  </si>
  <si>
    <t>國中滿10減1、午餐執秘(-3)</t>
    <phoneticPr fontId="1" type="noConversion"/>
  </si>
  <si>
    <t>班會</t>
    <phoneticPr fontId="1" type="noConversion"/>
  </si>
  <si>
    <t>陳嬿竹</t>
    <phoneticPr fontId="1" type="noConversion"/>
  </si>
  <si>
    <t>社團活動</t>
    <phoneticPr fontId="1" type="noConversion"/>
  </si>
  <si>
    <t>卓言凌</t>
    <phoneticPr fontId="1" type="noConversion"/>
  </si>
  <si>
    <t>國文</t>
    <phoneticPr fontId="1" type="noConversion"/>
  </si>
  <si>
    <t>林蔚松</t>
    <phoneticPr fontId="1" type="noConversion"/>
  </si>
  <si>
    <t>英文</t>
    <phoneticPr fontId="1" type="noConversion"/>
  </si>
  <si>
    <t>蘇瑞梧</t>
    <phoneticPr fontId="1" type="noConversion"/>
  </si>
  <si>
    <t>數學A</t>
    <phoneticPr fontId="1" type="noConversion"/>
  </si>
  <si>
    <t>陳姿伊</t>
    <phoneticPr fontId="1" type="noConversion"/>
  </si>
  <si>
    <t>地理</t>
    <phoneticPr fontId="1" type="noConversion"/>
  </si>
  <si>
    <t>吳美枝</t>
    <phoneticPr fontId="1" type="noConversion"/>
  </si>
  <si>
    <t>公民與社會</t>
    <phoneticPr fontId="1" type="noConversion"/>
  </si>
  <si>
    <t>劉祐霖</t>
    <phoneticPr fontId="1" type="noConversion"/>
  </si>
  <si>
    <t>探究與實作A</t>
    <phoneticPr fontId="1" type="noConversion"/>
  </si>
  <si>
    <t>戴嘉靚</t>
    <phoneticPr fontId="1" type="noConversion"/>
  </si>
  <si>
    <t>音樂</t>
    <phoneticPr fontId="1" type="noConversion"/>
  </si>
  <si>
    <t>游貞維</t>
    <phoneticPr fontId="1" type="noConversion"/>
  </si>
  <si>
    <t>美術</t>
    <phoneticPr fontId="1" type="noConversion"/>
  </si>
  <si>
    <t>林秋萍</t>
    <phoneticPr fontId="1" type="noConversion"/>
  </si>
  <si>
    <t>健康與護理</t>
    <phoneticPr fontId="1" type="noConversion"/>
  </si>
  <si>
    <t>梁念慈</t>
    <phoneticPr fontId="1" type="noConversion"/>
  </si>
  <si>
    <t>體育</t>
    <phoneticPr fontId="1" type="noConversion"/>
  </si>
  <si>
    <t>全民國防教育</t>
    <phoneticPr fontId="1" type="noConversion"/>
  </si>
  <si>
    <t>陳玉霜</t>
    <phoneticPr fontId="1" type="noConversion"/>
  </si>
  <si>
    <t>力學一</t>
    <phoneticPr fontId="1" type="noConversion"/>
  </si>
  <si>
    <t>孫蜂揮</t>
    <phoneticPr fontId="1" type="noConversion"/>
  </si>
  <si>
    <t>數學B</t>
    <phoneticPr fontId="1" type="noConversion"/>
  </si>
  <si>
    <t>王映緹</t>
    <phoneticPr fontId="1" type="noConversion"/>
  </si>
  <si>
    <t>戴延諭</t>
    <phoneticPr fontId="1" type="noConversion"/>
  </si>
  <si>
    <t>歷史學探究</t>
    <phoneticPr fontId="1" type="noConversion"/>
  </si>
  <si>
    <t>汪雪憬</t>
    <phoneticPr fontId="1" type="noConversion"/>
  </si>
  <si>
    <t>公共議題與社會探究</t>
    <phoneticPr fontId="1" type="noConversion"/>
  </si>
  <si>
    <t>呂明蔘</t>
    <phoneticPr fontId="1" type="noConversion"/>
  </si>
  <si>
    <t>張仕芳</t>
    <phoneticPr fontId="1" type="noConversion"/>
  </si>
  <si>
    <t>蔡英鈴</t>
    <phoneticPr fontId="1" type="noConversion"/>
  </si>
  <si>
    <t>藝術生活</t>
    <phoneticPr fontId="1" type="noConversion"/>
  </si>
  <si>
    <t>張寧</t>
    <phoneticPr fontId="1" type="noConversion"/>
  </si>
  <si>
    <t>生命教育</t>
    <phoneticPr fontId="1" type="noConversion"/>
  </si>
  <si>
    <t>郭姝欣</t>
    <phoneticPr fontId="1" type="noConversion"/>
  </si>
  <si>
    <t>英文閱讀與寫作</t>
    <phoneticPr fontId="1" type="noConversion"/>
  </si>
  <si>
    <t>數學甲</t>
    <phoneticPr fontId="1" type="noConversion"/>
  </si>
  <si>
    <t>波動、光與聲音</t>
    <phoneticPr fontId="1" type="noConversion"/>
  </si>
  <si>
    <t>電磁現象一</t>
    <phoneticPr fontId="1" type="noConversion"/>
  </si>
  <si>
    <t>化學反應與平衡一</t>
    <phoneticPr fontId="1" type="noConversion"/>
  </si>
  <si>
    <t>陳寶妃</t>
    <phoneticPr fontId="1" type="noConversion"/>
  </si>
  <si>
    <t>有機化學與應用科技</t>
    <phoneticPr fontId="1" type="noConversion"/>
  </si>
  <si>
    <t>細胞與遺傳</t>
    <phoneticPr fontId="1" type="noConversion"/>
  </si>
  <si>
    <t>數學乙</t>
    <phoneticPr fontId="1" type="noConversion"/>
  </si>
  <si>
    <t>民主政治與法律</t>
    <phoneticPr fontId="1" type="noConversion"/>
  </si>
  <si>
    <t>社會環境議題</t>
    <phoneticPr fontId="1" type="noConversion"/>
  </si>
  <si>
    <t>族群性別與國家的歷史</t>
    <phoneticPr fontId="1" type="noConversion"/>
  </si>
  <si>
    <t>運動與健康</t>
    <phoneticPr fontId="1" type="noConversion"/>
  </si>
  <si>
    <t>時事英文</t>
    <phoneticPr fontId="1" type="noConversion"/>
  </si>
  <si>
    <t>投資理財趣</t>
    <phoneticPr fontId="1" type="noConversion"/>
  </si>
  <si>
    <t>歷史學科素養題目探究</t>
    <phoneticPr fontId="1" type="noConversion"/>
  </si>
  <si>
    <t>地理素養議題探究</t>
    <phoneticPr fontId="1" type="noConversion"/>
  </si>
  <si>
    <t>漸進英文寫作練習</t>
    <phoneticPr fontId="1" type="noConversion"/>
  </si>
  <si>
    <t>公民學科素養題目探究</t>
    <phoneticPr fontId="1" type="noConversion"/>
  </si>
  <si>
    <t>廖卿妃</t>
    <phoneticPr fontId="1" type="noConversion"/>
  </si>
  <si>
    <t>陳惠芬</t>
    <phoneticPr fontId="1" type="noConversion"/>
  </si>
  <si>
    <t>唐藝秦</t>
    <phoneticPr fontId="1" type="noConversion"/>
  </si>
  <si>
    <t>本土語文/閩南語</t>
    <phoneticPr fontId="1" type="noConversion"/>
  </si>
  <si>
    <t>杜鴻秋</t>
    <phoneticPr fontId="1" type="noConversion"/>
  </si>
  <si>
    <t>本土語文/原住民族語(布農)</t>
    <phoneticPr fontId="1" type="noConversion"/>
  </si>
  <si>
    <t>林秋琴</t>
    <phoneticPr fontId="1" type="noConversion"/>
  </si>
  <si>
    <t>本土語文/原住民族語(協同)</t>
    <phoneticPr fontId="1" type="noConversion"/>
  </si>
  <si>
    <t>涂世一</t>
    <phoneticPr fontId="1" type="noConversion"/>
  </si>
  <si>
    <t>數學</t>
    <phoneticPr fontId="1" type="noConversion"/>
  </si>
  <si>
    <t>吳昀蓁</t>
    <phoneticPr fontId="1" type="noConversion"/>
  </si>
  <si>
    <t>歷史</t>
    <phoneticPr fontId="1" type="noConversion"/>
  </si>
  <si>
    <t>物理</t>
    <phoneticPr fontId="1" type="noConversion"/>
  </si>
  <si>
    <t>林柏宏</t>
    <phoneticPr fontId="1" type="noConversion"/>
  </si>
  <si>
    <t>地球科學</t>
    <phoneticPr fontId="1" type="noConversion"/>
  </si>
  <si>
    <t>運動學概論</t>
    <phoneticPr fontId="1" type="noConversion"/>
  </si>
  <si>
    <t>陳馨怡</t>
    <phoneticPr fontId="1" type="noConversion"/>
  </si>
  <si>
    <t>專項體能訓練</t>
    <phoneticPr fontId="1" type="noConversion"/>
  </si>
  <si>
    <t>張惠俞</t>
    <phoneticPr fontId="1" type="noConversion"/>
  </si>
  <si>
    <t>專項技術訓練</t>
    <phoneticPr fontId="1" type="noConversion"/>
  </si>
  <si>
    <t>龔泰源</t>
    <phoneticPr fontId="1" type="noConversion"/>
  </si>
  <si>
    <t>選手培訓</t>
    <phoneticPr fontId="1" type="noConversion"/>
  </si>
  <si>
    <t>陳景昇</t>
    <phoneticPr fontId="1" type="noConversion"/>
  </si>
  <si>
    <t>謝旻勳</t>
    <phoneticPr fontId="1" type="noConversion"/>
  </si>
  <si>
    <t>吳佳育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</si>
</sst>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8"/>
      <name val="Arial"/>
      <family val="2"/>
    </font>
    <font>
      <sz val="12"/>
      <color indexed="8"/>
      <name val="新細明體"/>
      <family val="1"/>
      <charset val="136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2"/>
      <color indexed="8"/>
      <name val="細明體"/>
      <family val="3"/>
      <charset val="136"/>
    </font>
    <font>
      <sz val="12"/>
      <color indexed="10"/>
      <name val="Arial"/>
      <family val="2"/>
    </font>
    <font>
      <sz val="12"/>
      <color indexed="40"/>
      <name val="Arial"/>
      <family val="2"/>
    </font>
    <font>
      <sz val="12"/>
      <color indexed="4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6"/>
      <color indexed="18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b/>
      <sz val="12"/>
      <color indexed="10"/>
      <name val="微軟正黑體"/>
      <family val="2"/>
      <charset val="136"/>
    </font>
    <font>
      <sz val="12"/>
      <color indexed="57"/>
      <name val="微軟正黑體"/>
      <family val="2"/>
      <charset val="136"/>
    </font>
    <font>
      <sz val="12"/>
      <color indexed="10"/>
      <name val="微軟正黑體"/>
      <family val="2"/>
      <charset val="136"/>
    </font>
    <font>
      <sz val="16"/>
      <color indexed="8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sz val="12"/>
      <color theme="8" tint="-0.249977111117893"/>
      <name val="微軟正黑體"/>
      <family val="2"/>
      <charset val="136"/>
    </font>
    <font>
      <sz val="10"/>
      <color theme="8" tint="-0.249977111117893"/>
      <name val="微軟正黑體"/>
      <family val="2"/>
      <charset val="136"/>
    </font>
    <font>
      <sz val="8"/>
      <color rgb="FFFF0000"/>
      <name val="微軟正黑體"/>
      <family val="2"/>
      <charset val="136"/>
    </font>
    <font>
      <sz val="9"/>
      <color indexed="10"/>
      <name val="微軟正黑體"/>
      <family val="2"/>
      <charset val="136"/>
    </font>
    <font>
      <sz val="9"/>
      <color theme="8" tint="-0.249977111117893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sz val="8"/>
      <color theme="8" tint="-0.249977111117893"/>
      <name val="微軟正黑體"/>
      <family val="2"/>
      <charset val="136"/>
    </font>
    <font>
      <sz val="10"/>
      <color indexed="10"/>
      <name val="微軟正黑體"/>
      <family val="2"/>
      <charset val="136"/>
    </font>
    <font>
      <sz val="10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8"/>
      <color indexed="8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theme="0"/>
      <name val="微軟正黑體"/>
      <family val="2"/>
      <charset val="136"/>
    </font>
    <font>
      <sz val="8"/>
      <color indexed="57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sz val="12"/>
      <color theme="1"/>
      <name val="Microsoft JhengHei"/>
      <family val="2"/>
      <charset val="136"/>
    </font>
    <font>
      <sz val="12"/>
      <color rgb="FF000000"/>
      <name val="Microsoft JhengHei"/>
      <family val="2"/>
      <charset val="136"/>
    </font>
    <font>
      <sz val="12"/>
      <color rgb="FFC00000"/>
      <name val="Microsoft JhengHei"/>
      <family val="2"/>
      <charset val="136"/>
    </font>
    <font>
      <sz val="12"/>
      <color rgb="FFFF0000"/>
      <name val="Microsoft JhengHei"/>
      <family val="2"/>
      <charset val="136"/>
    </font>
    <font>
      <sz val="10"/>
      <color rgb="FF000000"/>
      <name val="Microsoft JhengHei"/>
      <family val="2"/>
      <charset val="136"/>
    </font>
    <font>
      <sz val="11"/>
      <color rgb="FF000000"/>
      <name val="Microsoft JhengHei"/>
      <family val="2"/>
      <charset val="136"/>
    </font>
    <font>
      <sz val="11"/>
      <color theme="1"/>
      <name val="Microsoft JhengHei"/>
      <family val="2"/>
      <charset val="136"/>
    </font>
    <font>
      <sz val="10"/>
      <color theme="1"/>
      <name val="Microsoft JhengHei"/>
      <family val="2"/>
      <charset val="136"/>
    </font>
    <font>
      <sz val="9"/>
      <name val="新細明體"/>
      <family val="3"/>
      <charset val="136"/>
      <scheme val="minor"/>
    </font>
    <font>
      <sz val="11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000000"/>
      <name val="Microsoft JhengHei"/>
      <family val="2"/>
    </font>
    <font>
      <sz val="12"/>
      <name val="Microsoft JhengHei"/>
      <family val="2"/>
      <charset val="136"/>
    </font>
    <font>
      <sz val="12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AEEF3"/>
        <bgColor rgb="FFDAEEF3"/>
      </patternFill>
    </fill>
    <fill>
      <patternFill patternType="solid">
        <fgColor rgb="FF99CCFF"/>
        <bgColor rgb="FF99CCFF"/>
      </patternFill>
    </fill>
    <fill>
      <patternFill patternType="solid">
        <fgColor rgb="FFA5A5A5"/>
        <bgColor rgb="FFA5A5A5"/>
      </patternFill>
    </fill>
    <fill>
      <patternFill patternType="solid">
        <fgColor rgb="FFFABF8F"/>
        <bgColor rgb="FFFABF8F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E5DFEC"/>
        <bgColor rgb="FFE5DFEC"/>
      </patternFill>
    </fill>
    <fill>
      <patternFill patternType="solid">
        <fgColor rgb="FFB2A1C7"/>
        <bgColor rgb="FFB2A1C7"/>
      </patternFill>
    </fill>
    <fill>
      <patternFill patternType="solid">
        <fgColor rgb="FF92CDDC"/>
        <bgColor rgb="FF92CDDC"/>
      </patternFill>
    </fill>
    <fill>
      <patternFill patternType="solid">
        <fgColor rgb="FFD6E3BC"/>
        <bgColor rgb="FFD6E3BC"/>
      </patternFill>
    </fill>
    <fill>
      <patternFill patternType="solid">
        <fgColor theme="7" tint="0.39994506668294322"/>
        <bgColor rgb="FFE5DFEC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2499465926084170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8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3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1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2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11" fillId="6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11" fillId="10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center" vertical="center" wrapText="1"/>
    </xf>
    <xf numFmtId="0" fontId="36" fillId="12" borderId="1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13" fillId="6" borderId="1" xfId="0" applyFont="1" applyFill="1" applyBorder="1" applyAlignment="1">
      <alignment horizontal="center" vertical="center"/>
    </xf>
    <xf numFmtId="0" fontId="23" fillId="0" borderId="10" xfId="0" applyFont="1" applyBorder="1" applyAlignment="1">
      <alignment horizontal="center"/>
    </xf>
    <xf numFmtId="0" fontId="13" fillId="6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11" xfId="0" applyFont="1" applyBorder="1" applyAlignment="1">
      <alignment horizontal="center" vertical="center"/>
    </xf>
    <xf numFmtId="0" fontId="39" fillId="0" borderId="11" xfId="0" applyFont="1" applyBorder="1" applyAlignment="1">
      <alignment horizontal="center"/>
    </xf>
    <xf numFmtId="0" fontId="39" fillId="13" borderId="11" xfId="0" applyFont="1" applyFill="1" applyBorder="1" applyAlignment="1">
      <alignment horizontal="center" vertical="center"/>
    </xf>
    <xf numFmtId="0" fontId="40" fillId="0" borderId="11" xfId="0" applyFont="1" applyBorder="1" applyAlignment="1">
      <alignment horizontal="center"/>
    </xf>
    <xf numFmtId="0" fontId="40" fillId="0" borderId="11" xfId="0" applyFont="1" applyBorder="1" applyAlignment="1">
      <alignment horizontal="center" vertical="center"/>
    </xf>
    <xf numFmtId="0" fontId="40" fillId="13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/>
    </xf>
    <xf numFmtId="0" fontId="39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 wrapText="1"/>
    </xf>
    <xf numFmtId="0" fontId="42" fillId="0" borderId="11" xfId="0" applyFont="1" applyBorder="1" applyAlignment="1">
      <alignment horizontal="center"/>
    </xf>
    <xf numFmtId="0" fontId="40" fillId="15" borderId="11" xfId="0" applyFont="1" applyFill="1" applyBorder="1" applyAlignment="1">
      <alignment horizontal="center" vertical="center"/>
    </xf>
    <xf numFmtId="0" fontId="40" fillId="16" borderId="11" xfId="0" applyFont="1" applyFill="1" applyBorder="1" applyAlignment="1">
      <alignment horizontal="center" vertical="center" wrapText="1"/>
    </xf>
    <xf numFmtId="0" fontId="40" fillId="17" borderId="11" xfId="0" applyFont="1" applyFill="1" applyBorder="1" applyAlignment="1">
      <alignment horizontal="center" vertical="center" wrapText="1"/>
    </xf>
    <xf numFmtId="0" fontId="40" fillId="17" borderId="11" xfId="0" applyFont="1" applyFill="1" applyBorder="1" applyAlignment="1">
      <alignment horizontal="center" vertical="center"/>
    </xf>
    <xf numFmtId="0" fontId="40" fillId="16" borderId="11" xfId="0" applyFont="1" applyFill="1" applyBorder="1" applyAlignment="1">
      <alignment horizontal="center" vertical="center"/>
    </xf>
    <xf numFmtId="0" fontId="42" fillId="16" borderId="11" xfId="0" applyFont="1" applyFill="1" applyBorder="1" applyAlignment="1">
      <alignment horizontal="center" vertical="center"/>
    </xf>
    <xf numFmtId="0" fontId="42" fillId="18" borderId="11" xfId="0" applyFont="1" applyFill="1" applyBorder="1" applyAlignment="1">
      <alignment horizontal="center" vertical="center"/>
    </xf>
    <xf numFmtId="0" fontId="40" fillId="18" borderId="11" xfId="0" applyFont="1" applyFill="1" applyBorder="1" applyAlignment="1">
      <alignment horizontal="center" vertical="center" wrapText="1"/>
    </xf>
    <xf numFmtId="0" fontId="40" fillId="18" borderId="11" xfId="0" applyFont="1" applyFill="1" applyBorder="1" applyAlignment="1">
      <alignment horizontal="center" vertical="center"/>
    </xf>
    <xf numFmtId="0" fontId="40" fillId="15" borderId="0" xfId="0" applyFont="1" applyFill="1" applyAlignment="1">
      <alignment horizontal="center" vertical="center"/>
    </xf>
    <xf numFmtId="0" fontId="40" fillId="13" borderId="11" xfId="0" applyFont="1" applyFill="1" applyBorder="1" applyAlignment="1">
      <alignment horizontal="center" vertical="center" wrapText="1"/>
    </xf>
    <xf numFmtId="0" fontId="39" fillId="19" borderId="11" xfId="0" applyFont="1" applyFill="1" applyBorder="1" applyAlignment="1">
      <alignment horizontal="center" vertical="center" wrapText="1"/>
    </xf>
    <xf numFmtId="0" fontId="39" fillId="17" borderId="11" xfId="0" applyFont="1" applyFill="1" applyBorder="1" applyAlignment="1">
      <alignment horizontal="center" vertical="center" wrapText="1"/>
    </xf>
    <xf numFmtId="0" fontId="39" fillId="17" borderId="11" xfId="0" applyFont="1" applyFill="1" applyBorder="1" applyAlignment="1">
      <alignment horizontal="center" vertical="center"/>
    </xf>
    <xf numFmtId="0" fontId="43" fillId="19" borderId="11" xfId="0" applyFont="1" applyFill="1" applyBorder="1" applyAlignment="1">
      <alignment horizontal="center" vertical="center" wrapText="1"/>
    </xf>
    <xf numFmtId="0" fontId="44" fillId="19" borderId="11" xfId="0" applyFont="1" applyFill="1" applyBorder="1" applyAlignment="1">
      <alignment horizontal="center" vertical="center" wrapText="1"/>
    </xf>
    <xf numFmtId="0" fontId="46" fillId="19" borderId="11" xfId="0" applyFont="1" applyFill="1" applyBorder="1" applyAlignment="1">
      <alignment horizontal="center" vertical="center" wrapText="1"/>
    </xf>
    <xf numFmtId="0" fontId="40" fillId="19" borderId="11" xfId="0" applyFont="1" applyFill="1" applyBorder="1" applyAlignment="1">
      <alignment horizontal="center" vertical="center"/>
    </xf>
    <xf numFmtId="0" fontId="45" fillId="17" borderId="11" xfId="0" applyFont="1" applyFill="1" applyBorder="1" applyAlignment="1">
      <alignment horizontal="center" vertical="center" wrapText="1"/>
    </xf>
    <xf numFmtId="0" fontId="45" fillId="17" borderId="11" xfId="0" applyFont="1" applyFill="1" applyBorder="1" applyAlignment="1">
      <alignment horizontal="center" vertical="center"/>
    </xf>
    <xf numFmtId="0" fontId="46" fillId="17" borderId="11" xfId="0" applyFont="1" applyFill="1" applyBorder="1" applyAlignment="1">
      <alignment horizontal="center" vertical="center" wrapText="1"/>
    </xf>
    <xf numFmtId="0" fontId="44" fillId="13" borderId="11" xfId="0" applyFont="1" applyFill="1" applyBorder="1" applyAlignment="1">
      <alignment horizontal="center" vertical="center" wrapText="1"/>
    </xf>
    <xf numFmtId="0" fontId="46" fillId="13" borderId="11" xfId="0" applyFont="1" applyFill="1" applyBorder="1" applyAlignment="1">
      <alignment horizontal="center" vertical="center" wrapText="1"/>
    </xf>
    <xf numFmtId="0" fontId="40" fillId="20" borderId="11" xfId="0" applyFont="1" applyFill="1" applyBorder="1" applyAlignment="1">
      <alignment horizontal="center" vertical="center" wrapText="1"/>
    </xf>
    <xf numFmtId="0" fontId="40" fillId="21" borderId="11" xfId="0" applyFont="1" applyFill="1" applyBorder="1" applyAlignment="1">
      <alignment horizontal="center" vertical="center" wrapText="1"/>
    </xf>
    <xf numFmtId="0" fontId="42" fillId="22" borderId="11" xfId="0" applyFont="1" applyFill="1" applyBorder="1" applyAlignment="1">
      <alignment horizontal="center" vertical="center"/>
    </xf>
    <xf numFmtId="0" fontId="40" fillId="20" borderId="11" xfId="0" applyFont="1" applyFill="1" applyBorder="1" applyAlignment="1">
      <alignment horizontal="center" vertical="center"/>
    </xf>
    <xf numFmtId="0" fontId="40" fillId="21" borderId="11" xfId="0" applyFont="1" applyFill="1" applyBorder="1" applyAlignment="1">
      <alignment horizontal="center" vertical="center"/>
    </xf>
    <xf numFmtId="0" fontId="39" fillId="22" borderId="1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wrapText="1"/>
    </xf>
    <xf numFmtId="0" fontId="39" fillId="23" borderId="11" xfId="0" applyFont="1" applyFill="1" applyBorder="1" applyAlignment="1">
      <alignment horizontal="center" vertical="center" wrapText="1"/>
    </xf>
    <xf numFmtId="0" fontId="13" fillId="24" borderId="1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39" fillId="25" borderId="11" xfId="0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 wrapText="1"/>
    </xf>
    <xf numFmtId="0" fontId="40" fillId="0" borderId="12" xfId="0" applyFont="1" applyBorder="1" applyAlignment="1">
      <alignment horizontal="center"/>
    </xf>
    <xf numFmtId="0" fontId="39" fillId="0" borderId="12" xfId="0" applyFont="1" applyBorder="1" applyAlignment="1">
      <alignment horizontal="center"/>
    </xf>
    <xf numFmtId="0" fontId="40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0" xfId="0" applyFont="1">
      <alignment vertical="center"/>
    </xf>
    <xf numFmtId="0" fontId="42" fillId="19" borderId="11" xfId="0" applyFont="1" applyFill="1" applyBorder="1" applyAlignment="1">
      <alignment horizontal="center" vertical="center" wrapText="1"/>
    </xf>
    <xf numFmtId="0" fontId="42" fillId="19" borderId="11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39" fillId="13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/>
    </xf>
    <xf numFmtId="0" fontId="39" fillId="0" borderId="6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 shrinkToFit="1"/>
    </xf>
    <xf numFmtId="0" fontId="4" fillId="0" borderId="0" xfId="0" applyFont="1" applyAlignment="1">
      <alignment vertical="center" wrapText="1"/>
    </xf>
    <xf numFmtId="0" fontId="40" fillId="14" borderId="0" xfId="0" applyFont="1" applyFill="1" applyAlignment="1">
      <alignment horizontal="center" vertical="center"/>
    </xf>
  </cellXfs>
  <cellStyles count="1">
    <cellStyle name="一般" xfId="0" builtinId="0"/>
  </cellStyles>
  <dxfs count="2">
    <dxf>
      <fill>
        <patternFill>
          <bgColor indexed="45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38100</xdr:rowOff>
        </xdr:from>
        <xdr:to>
          <xdr:col>13</xdr:col>
          <xdr:colOff>914400</xdr:colOff>
          <xdr:row>1</xdr:row>
          <xdr:rowOff>133350</xdr:rowOff>
        </xdr:to>
        <xdr:sp macro="" textlink="">
          <xdr:nvSpPr>
            <xdr:cNvPr id="4123" name="CommandButton1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76200</xdr:rowOff>
        </xdr:from>
        <xdr:to>
          <xdr:col>7</xdr:col>
          <xdr:colOff>47625</xdr:colOff>
          <xdr:row>1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76200</xdr:rowOff>
        </xdr:from>
        <xdr:to>
          <xdr:col>8</xdr:col>
          <xdr:colOff>476250</xdr:colOff>
          <xdr:row>2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1"/>
    <pageSetUpPr fitToPage="1"/>
  </sheetPr>
  <dimension ref="A1:T83"/>
  <sheetViews>
    <sheetView showGridLines="0" showZeros="0" zoomScale="160" zoomScaleNormal="160" zoomScalePageLayoutView="85" workbookViewId="0">
      <pane ySplit="3" topLeftCell="A25" activePane="bottomLeft" state="frozen"/>
      <selection pane="bottomLeft"/>
    </sheetView>
  </sheetViews>
  <sheetFormatPr defaultColWidth="9" defaultRowHeight="15"/>
  <cols>
    <col min="1" max="1" width="5.125" style="1" customWidth="1"/>
    <col min="2" max="2" width="12" style="1" customWidth="1"/>
    <col min="3" max="3" width="9" style="1"/>
    <col min="4" max="4" width="18.625" style="1" bestFit="1" customWidth="1"/>
    <col min="5" max="5" width="5.5" style="1" customWidth="1"/>
    <col min="6" max="6" width="6.125" style="1" customWidth="1"/>
    <col min="7" max="7" width="5.875" style="1" customWidth="1"/>
    <col min="8" max="8" width="8.125" style="1" customWidth="1"/>
    <col min="9" max="11" width="5.5" style="1" bestFit="1" customWidth="1"/>
    <col min="12" max="12" width="5.875" style="1" customWidth="1"/>
    <col min="13" max="13" width="6.125" style="1" customWidth="1"/>
    <col min="14" max="14" width="33.375" style="1" customWidth="1"/>
    <col min="15" max="16384" width="9" style="2"/>
  </cols>
  <sheetData>
    <row r="1" spans="1:16" ht="16.5">
      <c r="B1" s="22" t="s">
        <v>469</v>
      </c>
    </row>
    <row r="2" spans="1:16" s="7" customFormat="1" ht="15.75">
      <c r="A2" s="6"/>
      <c r="B2" s="6"/>
      <c r="C2" s="6"/>
      <c r="D2" s="6"/>
      <c r="E2" s="6">
        <f t="shared" ref="E2:M2" si="0">SUM(E$4:E$83)</f>
        <v>472</v>
      </c>
      <c r="F2" s="6">
        <f t="shared" si="0"/>
        <v>-33</v>
      </c>
      <c r="G2" s="6">
        <f t="shared" si="0"/>
        <v>439</v>
      </c>
      <c r="H2" s="6">
        <f t="shared" si="0"/>
        <v>428</v>
      </c>
      <c r="I2" s="6">
        <f t="shared" si="0"/>
        <v>63</v>
      </c>
      <c r="J2" s="6">
        <f t="shared" si="0"/>
        <v>64</v>
      </c>
      <c r="K2" s="6">
        <f t="shared" si="0"/>
        <v>641</v>
      </c>
      <c r="L2" s="6">
        <f t="shared" si="0"/>
        <v>309</v>
      </c>
      <c r="M2" s="6">
        <f t="shared" si="0"/>
        <v>332</v>
      </c>
      <c r="N2" s="6"/>
    </row>
    <row r="3" spans="1:16" s="3" customFormat="1" ht="33">
      <c r="A3" s="8" t="s">
        <v>73</v>
      </c>
      <c r="B3" s="8" t="s">
        <v>0</v>
      </c>
      <c r="C3" s="8" t="s">
        <v>1</v>
      </c>
      <c r="D3" s="8" t="s">
        <v>2</v>
      </c>
      <c r="E3" s="8" t="s">
        <v>3</v>
      </c>
      <c r="F3" s="8" t="s">
        <v>4</v>
      </c>
      <c r="G3" s="8" t="s">
        <v>5</v>
      </c>
      <c r="H3" s="8" t="s">
        <v>74</v>
      </c>
      <c r="I3" s="8" t="s">
        <v>82</v>
      </c>
      <c r="J3" s="8" t="s">
        <v>83</v>
      </c>
      <c r="K3" s="9" t="s">
        <v>6</v>
      </c>
      <c r="L3" s="9" t="s">
        <v>7</v>
      </c>
      <c r="M3" s="9" t="s">
        <v>8</v>
      </c>
      <c r="N3" s="8" t="s">
        <v>9</v>
      </c>
      <c r="O3" s="25" t="s">
        <v>179</v>
      </c>
    </row>
    <row r="4" spans="1:16" s="12" customFormat="1" ht="15.75">
      <c r="A4" s="13">
        <v>1</v>
      </c>
      <c r="B4" s="112" t="s">
        <v>298</v>
      </c>
      <c r="C4" s="113" t="s">
        <v>226</v>
      </c>
      <c r="D4" s="112" t="s">
        <v>299</v>
      </c>
      <c r="E4" s="112">
        <v>4</v>
      </c>
      <c r="F4" s="112">
        <v>-3</v>
      </c>
      <c r="G4" s="14">
        <f t="shared" ref="G4:G21" si="1">E4+F4</f>
        <v>1</v>
      </c>
      <c r="H4" s="14">
        <v>1</v>
      </c>
      <c r="I4" s="14">
        <v>6</v>
      </c>
      <c r="J4" s="14">
        <v>0</v>
      </c>
      <c r="K4" s="15">
        <v>7</v>
      </c>
      <c r="L4" s="15">
        <v>7</v>
      </c>
      <c r="M4" s="15">
        <v>0</v>
      </c>
      <c r="N4" s="63" t="s">
        <v>516</v>
      </c>
      <c r="O4" s="26">
        <f>K4-H4</f>
        <v>6</v>
      </c>
    </row>
    <row r="5" spans="1:16" ht="15.75">
      <c r="A5" s="13">
        <v>2</v>
      </c>
      <c r="B5" s="113" t="s">
        <v>10</v>
      </c>
      <c r="C5" s="113" t="s">
        <v>94</v>
      </c>
      <c r="D5" s="114" t="s">
        <v>300</v>
      </c>
      <c r="E5" s="112">
        <v>4</v>
      </c>
      <c r="F5" s="120"/>
      <c r="G5" s="14">
        <f t="shared" si="1"/>
        <v>4</v>
      </c>
      <c r="H5" s="14">
        <v>4</v>
      </c>
      <c r="I5" s="14">
        <v>0</v>
      </c>
      <c r="J5" s="14">
        <v>2</v>
      </c>
      <c r="K5" s="15">
        <v>6</v>
      </c>
      <c r="L5" s="15">
        <v>0</v>
      </c>
      <c r="M5" s="15">
        <v>6</v>
      </c>
      <c r="N5" s="63"/>
      <c r="O5" s="26">
        <f t="shared" ref="O5:O64" si="2">K5-H5</f>
        <v>2</v>
      </c>
    </row>
    <row r="6" spans="1:16" s="12" customFormat="1" ht="15.75">
      <c r="A6" s="13">
        <v>3</v>
      </c>
      <c r="B6" s="113" t="s">
        <v>301</v>
      </c>
      <c r="C6" s="115" t="s">
        <v>44</v>
      </c>
      <c r="D6" s="116" t="s">
        <v>299</v>
      </c>
      <c r="E6" s="112">
        <v>4</v>
      </c>
      <c r="F6" s="112"/>
      <c r="G6" s="14">
        <f t="shared" si="1"/>
        <v>4</v>
      </c>
      <c r="H6" s="14">
        <v>4</v>
      </c>
      <c r="I6" s="14">
        <v>7</v>
      </c>
      <c r="J6" s="14"/>
      <c r="K6" s="15">
        <v>11</v>
      </c>
      <c r="L6" s="15">
        <v>11</v>
      </c>
      <c r="M6" s="15">
        <v>0</v>
      </c>
      <c r="N6" s="63"/>
      <c r="O6" s="26">
        <f t="shared" si="2"/>
        <v>7</v>
      </c>
    </row>
    <row r="7" spans="1:16" ht="15.75">
      <c r="A7" s="13">
        <v>4</v>
      </c>
      <c r="B7" s="113" t="s">
        <v>302</v>
      </c>
      <c r="C7" s="113" t="s">
        <v>420</v>
      </c>
      <c r="D7" s="114" t="s">
        <v>421</v>
      </c>
      <c r="E7" s="112">
        <v>4</v>
      </c>
      <c r="F7" s="112">
        <v>-3</v>
      </c>
      <c r="G7" s="14">
        <f t="shared" si="1"/>
        <v>1</v>
      </c>
      <c r="H7" s="14">
        <v>1</v>
      </c>
      <c r="I7" s="14"/>
      <c r="J7" s="14">
        <v>3</v>
      </c>
      <c r="K7" s="15">
        <v>4</v>
      </c>
      <c r="L7" s="15">
        <v>0</v>
      </c>
      <c r="M7" s="15">
        <v>4</v>
      </c>
      <c r="N7" s="63" t="s">
        <v>508</v>
      </c>
      <c r="O7" s="26">
        <f t="shared" si="2"/>
        <v>3</v>
      </c>
    </row>
    <row r="8" spans="1:16" ht="15.75">
      <c r="A8" s="13">
        <v>5</v>
      </c>
      <c r="B8" s="113" t="s">
        <v>11</v>
      </c>
      <c r="C8" s="113" t="s">
        <v>228</v>
      </c>
      <c r="D8" s="116" t="s">
        <v>304</v>
      </c>
      <c r="E8" s="112">
        <v>0</v>
      </c>
      <c r="F8" s="112"/>
      <c r="G8" s="14">
        <f t="shared" si="1"/>
        <v>0</v>
      </c>
      <c r="H8" s="14"/>
      <c r="I8" s="14"/>
      <c r="J8" s="14"/>
      <c r="K8" s="15">
        <v>0</v>
      </c>
      <c r="L8" s="15">
        <v>0</v>
      </c>
      <c r="M8" s="15">
        <v>0</v>
      </c>
      <c r="N8" s="63"/>
      <c r="O8" s="26">
        <f t="shared" si="2"/>
        <v>0</v>
      </c>
    </row>
    <row r="9" spans="1:16" ht="15.75">
      <c r="A9" s="13">
        <v>6</v>
      </c>
      <c r="B9" s="113" t="s">
        <v>305</v>
      </c>
      <c r="C9" s="113" t="s">
        <v>56</v>
      </c>
      <c r="D9" s="112" t="s">
        <v>306</v>
      </c>
      <c r="E9" s="112">
        <v>4</v>
      </c>
      <c r="F9" s="120">
        <v>-3</v>
      </c>
      <c r="G9" s="14">
        <f t="shared" si="1"/>
        <v>1</v>
      </c>
      <c r="H9" s="14">
        <v>1</v>
      </c>
      <c r="I9" s="14">
        <v>7</v>
      </c>
      <c r="J9" s="14"/>
      <c r="K9" s="15">
        <v>8</v>
      </c>
      <c r="L9" s="15">
        <v>8</v>
      </c>
      <c r="M9" s="15">
        <v>0</v>
      </c>
      <c r="N9" s="64" t="s">
        <v>526</v>
      </c>
      <c r="O9" s="26">
        <f t="shared" si="2"/>
        <v>7</v>
      </c>
    </row>
    <row r="10" spans="1:16" ht="15.75">
      <c r="A10" s="13">
        <v>7</v>
      </c>
      <c r="B10" s="113" t="s">
        <v>307</v>
      </c>
      <c r="C10" s="113" t="s">
        <v>45</v>
      </c>
      <c r="D10" s="112" t="s">
        <v>306</v>
      </c>
      <c r="E10" s="112">
        <v>4</v>
      </c>
      <c r="F10" s="112">
        <v>-1</v>
      </c>
      <c r="G10" s="14">
        <f t="shared" si="1"/>
        <v>3</v>
      </c>
      <c r="H10" s="14">
        <v>3</v>
      </c>
      <c r="I10" s="14">
        <v>5</v>
      </c>
      <c r="J10" s="14"/>
      <c r="K10" s="15">
        <v>8</v>
      </c>
      <c r="L10" s="15">
        <v>8</v>
      </c>
      <c r="M10" s="15">
        <v>0</v>
      </c>
      <c r="N10" s="64" t="s">
        <v>513</v>
      </c>
      <c r="O10" s="26">
        <f t="shared" si="2"/>
        <v>5</v>
      </c>
    </row>
    <row r="11" spans="1:16" s="12" customFormat="1" ht="15.75">
      <c r="A11" s="13">
        <v>8</v>
      </c>
      <c r="B11" s="113" t="s">
        <v>12</v>
      </c>
      <c r="C11" s="113" t="s">
        <v>14</v>
      </c>
      <c r="D11" s="112" t="s">
        <v>308</v>
      </c>
      <c r="E11" s="119">
        <v>7</v>
      </c>
      <c r="F11" s="119">
        <v>-1</v>
      </c>
      <c r="G11" s="14">
        <f t="shared" si="1"/>
        <v>6</v>
      </c>
      <c r="H11" s="14">
        <v>6</v>
      </c>
      <c r="I11" s="14">
        <v>1</v>
      </c>
      <c r="J11" s="14"/>
      <c r="K11" s="15">
        <v>7</v>
      </c>
      <c r="L11" s="15">
        <v>7</v>
      </c>
      <c r="M11" s="15">
        <v>0</v>
      </c>
      <c r="N11" s="64" t="s">
        <v>514</v>
      </c>
      <c r="O11" s="26">
        <f t="shared" si="2"/>
        <v>1</v>
      </c>
    </row>
    <row r="12" spans="1:16" ht="15.75">
      <c r="A12" s="13">
        <v>9</v>
      </c>
      <c r="B12" s="115" t="s">
        <v>13</v>
      </c>
      <c r="C12" s="113" t="s">
        <v>58</v>
      </c>
      <c r="D12" s="114" t="s">
        <v>340</v>
      </c>
      <c r="E12" s="119">
        <v>7</v>
      </c>
      <c r="F12" s="119">
        <v>-2</v>
      </c>
      <c r="G12" s="14">
        <f t="shared" si="1"/>
        <v>5</v>
      </c>
      <c r="H12" s="14">
        <v>5</v>
      </c>
      <c r="I12" s="14"/>
      <c r="J12" s="14">
        <v>6</v>
      </c>
      <c r="K12" s="15">
        <v>11</v>
      </c>
      <c r="L12" s="15">
        <v>0</v>
      </c>
      <c r="M12" s="15">
        <v>11</v>
      </c>
      <c r="N12" s="91" t="s">
        <v>511</v>
      </c>
      <c r="O12" s="26">
        <f t="shared" si="2"/>
        <v>6</v>
      </c>
    </row>
    <row r="13" spans="1:16" ht="15.75">
      <c r="A13" s="13">
        <v>10</v>
      </c>
      <c r="B13" s="115" t="s">
        <v>310</v>
      </c>
      <c r="C13" s="115" t="s">
        <v>46</v>
      </c>
      <c r="D13" s="116" t="s">
        <v>311</v>
      </c>
      <c r="E13" s="119">
        <v>8</v>
      </c>
      <c r="F13" s="119">
        <v>-2</v>
      </c>
      <c r="G13" s="14">
        <f t="shared" si="1"/>
        <v>6</v>
      </c>
      <c r="H13" s="14">
        <v>6</v>
      </c>
      <c r="I13" s="14">
        <v>2</v>
      </c>
      <c r="J13" s="14"/>
      <c r="K13" s="15">
        <v>8</v>
      </c>
      <c r="L13" s="15">
        <v>8</v>
      </c>
      <c r="M13" s="15">
        <v>0</v>
      </c>
      <c r="N13" s="63" t="s">
        <v>599</v>
      </c>
      <c r="O13" s="26">
        <f t="shared" si="2"/>
        <v>2</v>
      </c>
    </row>
    <row r="14" spans="1:16" ht="15.75">
      <c r="A14" s="13">
        <v>11</v>
      </c>
      <c r="B14" s="115" t="s">
        <v>114</v>
      </c>
      <c r="C14" s="115" t="s">
        <v>95</v>
      </c>
      <c r="D14" s="117" t="s">
        <v>342</v>
      </c>
      <c r="E14" s="119">
        <v>8</v>
      </c>
      <c r="F14" s="119">
        <v>-1</v>
      </c>
      <c r="G14" s="18">
        <f t="shared" si="1"/>
        <v>7</v>
      </c>
      <c r="H14" s="14">
        <v>7</v>
      </c>
      <c r="I14" s="14">
        <v>4</v>
      </c>
      <c r="J14" s="14"/>
      <c r="K14" s="15">
        <v>11</v>
      </c>
      <c r="L14" s="15">
        <v>6</v>
      </c>
      <c r="M14" s="15">
        <v>5</v>
      </c>
      <c r="N14" s="91" t="s">
        <v>510</v>
      </c>
      <c r="O14" s="26">
        <f t="shared" si="2"/>
        <v>4</v>
      </c>
    </row>
    <row r="15" spans="1:16" ht="15.75">
      <c r="A15" s="13">
        <v>12</v>
      </c>
      <c r="B15" s="115" t="s">
        <v>115</v>
      </c>
      <c r="C15" s="115" t="s">
        <v>268</v>
      </c>
      <c r="D15" s="117" t="s">
        <v>313</v>
      </c>
      <c r="E15" s="119">
        <v>7</v>
      </c>
      <c r="F15" s="119"/>
      <c r="G15" s="18">
        <f t="shared" si="1"/>
        <v>7</v>
      </c>
      <c r="H15" s="14">
        <v>7</v>
      </c>
      <c r="I15" s="14"/>
      <c r="J15" s="14">
        <v>2</v>
      </c>
      <c r="K15" s="15">
        <v>9</v>
      </c>
      <c r="L15" s="15">
        <v>0</v>
      </c>
      <c r="M15" s="15">
        <v>9</v>
      </c>
      <c r="N15" s="91"/>
      <c r="O15" s="26">
        <f t="shared" si="2"/>
        <v>2</v>
      </c>
    </row>
    <row r="16" spans="1:16" ht="15.75">
      <c r="A16" s="13">
        <v>13</v>
      </c>
      <c r="B16" s="115" t="s">
        <v>116</v>
      </c>
      <c r="C16" s="115" t="s">
        <v>472</v>
      </c>
      <c r="D16" s="112" t="s">
        <v>314</v>
      </c>
      <c r="E16" s="119">
        <v>7</v>
      </c>
      <c r="F16" s="119"/>
      <c r="G16" s="18">
        <f t="shared" si="1"/>
        <v>7</v>
      </c>
      <c r="H16" s="14">
        <v>7</v>
      </c>
      <c r="I16" s="14">
        <v>3</v>
      </c>
      <c r="J16" s="14"/>
      <c r="K16" s="15">
        <v>10</v>
      </c>
      <c r="L16" s="15">
        <v>10</v>
      </c>
      <c r="M16" s="15">
        <v>0</v>
      </c>
      <c r="N16" s="91"/>
      <c r="O16" s="26">
        <f t="shared" si="2"/>
        <v>3</v>
      </c>
      <c r="P16" s="177"/>
    </row>
    <row r="17" spans="1:20" ht="15.75">
      <c r="A17" s="13">
        <v>14</v>
      </c>
      <c r="B17" s="115" t="s">
        <v>15</v>
      </c>
      <c r="C17" s="115" t="s">
        <v>50</v>
      </c>
      <c r="D17" s="116" t="s">
        <v>306</v>
      </c>
      <c r="E17" s="119">
        <v>7</v>
      </c>
      <c r="F17" s="119"/>
      <c r="G17" s="18">
        <f t="shared" si="1"/>
        <v>7</v>
      </c>
      <c r="H17" s="14">
        <v>7</v>
      </c>
      <c r="I17" s="14">
        <v>1</v>
      </c>
      <c r="J17" s="14"/>
      <c r="K17" s="15">
        <v>8</v>
      </c>
      <c r="L17" s="15">
        <v>8</v>
      </c>
      <c r="M17" s="15">
        <v>0</v>
      </c>
      <c r="N17" s="91"/>
      <c r="O17" s="26">
        <f t="shared" si="2"/>
        <v>1</v>
      </c>
      <c r="P17" s="177"/>
      <c r="Q17" s="176"/>
    </row>
    <row r="18" spans="1:20" ht="15.75">
      <c r="A18" s="13">
        <v>15</v>
      </c>
      <c r="B18" s="115" t="s">
        <v>16</v>
      </c>
      <c r="C18" s="115" t="s">
        <v>444</v>
      </c>
      <c r="D18" s="117" t="s">
        <v>422</v>
      </c>
      <c r="E18" s="119">
        <v>8</v>
      </c>
      <c r="F18" s="119">
        <v>-2</v>
      </c>
      <c r="G18" s="18">
        <f t="shared" si="1"/>
        <v>6</v>
      </c>
      <c r="H18" s="14">
        <v>6</v>
      </c>
      <c r="I18" s="14"/>
      <c r="J18" s="14">
        <v>2</v>
      </c>
      <c r="K18" s="15">
        <v>8</v>
      </c>
      <c r="L18" s="15">
        <v>0</v>
      </c>
      <c r="M18" s="15">
        <v>8</v>
      </c>
      <c r="N18" s="91" t="s">
        <v>464</v>
      </c>
      <c r="O18" s="26">
        <f t="shared" si="2"/>
        <v>2</v>
      </c>
    </row>
    <row r="19" spans="1:20" ht="15.75">
      <c r="A19" s="13">
        <v>16</v>
      </c>
      <c r="B19" s="113" t="s">
        <v>17</v>
      </c>
      <c r="C19" s="113" t="s">
        <v>57</v>
      </c>
      <c r="D19" s="112" t="s">
        <v>314</v>
      </c>
      <c r="E19" s="119">
        <v>8</v>
      </c>
      <c r="F19" s="119"/>
      <c r="G19" s="14">
        <f t="shared" si="1"/>
        <v>8</v>
      </c>
      <c r="H19" s="14">
        <v>8</v>
      </c>
      <c r="I19" s="14"/>
      <c r="J19" s="14">
        <v>1</v>
      </c>
      <c r="K19" s="15">
        <v>9</v>
      </c>
      <c r="L19" s="15">
        <v>7</v>
      </c>
      <c r="M19" s="15">
        <v>2</v>
      </c>
      <c r="N19" s="91"/>
      <c r="O19" s="26">
        <f t="shared" si="2"/>
        <v>1</v>
      </c>
    </row>
    <row r="20" spans="1:20" ht="15.75">
      <c r="A20" s="13">
        <v>17</v>
      </c>
      <c r="B20" s="113" t="s">
        <v>117</v>
      </c>
      <c r="C20" s="113" t="s">
        <v>51</v>
      </c>
      <c r="D20" s="112" t="s">
        <v>316</v>
      </c>
      <c r="E20" s="119">
        <v>8</v>
      </c>
      <c r="F20" s="119"/>
      <c r="G20" s="14">
        <f t="shared" si="1"/>
        <v>8</v>
      </c>
      <c r="H20" s="14">
        <v>8</v>
      </c>
      <c r="I20" s="14">
        <v>3</v>
      </c>
      <c r="J20" s="14"/>
      <c r="K20" s="15">
        <v>11</v>
      </c>
      <c r="L20" s="15">
        <v>11</v>
      </c>
      <c r="M20" s="15">
        <v>0</v>
      </c>
      <c r="N20" s="91"/>
      <c r="O20" s="26">
        <f t="shared" si="2"/>
        <v>3</v>
      </c>
    </row>
    <row r="21" spans="1:20" ht="15.75">
      <c r="A21" s="13">
        <v>18</v>
      </c>
      <c r="B21" s="113" t="s">
        <v>18</v>
      </c>
      <c r="C21" s="113" t="s">
        <v>100</v>
      </c>
      <c r="D21" s="112" t="s">
        <v>317</v>
      </c>
      <c r="E21" s="119">
        <v>8</v>
      </c>
      <c r="F21" s="119">
        <v>-1</v>
      </c>
      <c r="G21" s="14">
        <f t="shared" si="1"/>
        <v>7</v>
      </c>
      <c r="H21" s="14">
        <v>7</v>
      </c>
      <c r="I21" s="14">
        <v>1</v>
      </c>
      <c r="J21" s="14">
        <v>3</v>
      </c>
      <c r="K21" s="15">
        <v>11</v>
      </c>
      <c r="L21" s="15">
        <v>8</v>
      </c>
      <c r="M21" s="15">
        <v>3</v>
      </c>
      <c r="N21" s="91" t="s">
        <v>512</v>
      </c>
      <c r="O21" s="26">
        <f t="shared" si="2"/>
        <v>4</v>
      </c>
      <c r="P21" s="174"/>
      <c r="Q21" s="176"/>
    </row>
    <row r="22" spans="1:20" ht="15.75">
      <c r="A22" s="13">
        <v>19</v>
      </c>
      <c r="B22" s="113" t="s">
        <v>506</v>
      </c>
      <c r="C22" s="115" t="s">
        <v>604</v>
      </c>
      <c r="D22" s="112" t="s">
        <v>591</v>
      </c>
      <c r="E22" s="116">
        <v>13</v>
      </c>
      <c r="F22" s="116"/>
      <c r="G22" s="18">
        <f>E22+F22</f>
        <v>13</v>
      </c>
      <c r="H22" s="14">
        <v>12</v>
      </c>
      <c r="I22" s="14">
        <v>5</v>
      </c>
      <c r="J22" s="14"/>
      <c r="K22" s="15">
        <v>17</v>
      </c>
      <c r="L22" s="15">
        <v>17</v>
      </c>
      <c r="M22" s="15">
        <v>0</v>
      </c>
      <c r="N22" s="63" t="s">
        <v>131</v>
      </c>
      <c r="O22" s="26">
        <f t="shared" si="2"/>
        <v>5</v>
      </c>
    </row>
    <row r="23" spans="1:20" ht="15.75">
      <c r="A23" s="13">
        <v>20</v>
      </c>
      <c r="B23" s="113" t="s">
        <v>505</v>
      </c>
      <c r="C23" s="113" t="s">
        <v>594</v>
      </c>
      <c r="D23" s="112" t="s">
        <v>318</v>
      </c>
      <c r="E23" s="116">
        <v>13</v>
      </c>
      <c r="F23" s="112"/>
      <c r="G23" s="18">
        <f>E23+F23</f>
        <v>13</v>
      </c>
      <c r="H23" s="14">
        <v>12</v>
      </c>
      <c r="I23" s="14">
        <v>2</v>
      </c>
      <c r="J23" s="14">
        <v>2</v>
      </c>
      <c r="K23" s="15">
        <v>16</v>
      </c>
      <c r="L23" s="15">
        <v>14</v>
      </c>
      <c r="M23" s="15">
        <v>2</v>
      </c>
      <c r="N23" s="63" t="s">
        <v>131</v>
      </c>
      <c r="O23" s="26">
        <f>K23-H23</f>
        <v>4</v>
      </c>
    </row>
    <row r="24" spans="1:20" ht="15.75">
      <c r="A24" s="13">
        <v>21</v>
      </c>
      <c r="B24" s="113" t="s">
        <v>320</v>
      </c>
      <c r="C24" s="113" t="s">
        <v>297</v>
      </c>
      <c r="D24" s="116" t="s">
        <v>319</v>
      </c>
      <c r="E24" s="116">
        <v>13</v>
      </c>
      <c r="F24" s="116"/>
      <c r="G24" s="18">
        <f t="shared" ref="G24:G30" si="3">E24+F24</f>
        <v>13</v>
      </c>
      <c r="H24" s="14">
        <v>12</v>
      </c>
      <c r="I24" s="14"/>
      <c r="J24" s="14">
        <v>2</v>
      </c>
      <c r="K24" s="15">
        <v>14</v>
      </c>
      <c r="L24" s="15">
        <v>11</v>
      </c>
      <c r="M24" s="15">
        <v>3</v>
      </c>
      <c r="N24" s="63" t="s">
        <v>131</v>
      </c>
      <c r="O24" s="26">
        <f t="shared" si="2"/>
        <v>2</v>
      </c>
    </row>
    <row r="25" spans="1:20" ht="15.75">
      <c r="A25" s="13">
        <v>22</v>
      </c>
      <c r="B25" s="113" t="s">
        <v>321</v>
      </c>
      <c r="C25" s="113" t="s">
        <v>48</v>
      </c>
      <c r="D25" s="112" t="s">
        <v>322</v>
      </c>
      <c r="E25" s="116">
        <v>13</v>
      </c>
      <c r="F25" s="112"/>
      <c r="G25" s="18">
        <f t="shared" si="3"/>
        <v>13</v>
      </c>
      <c r="H25" s="14">
        <v>12</v>
      </c>
      <c r="I25" s="14"/>
      <c r="J25" s="14">
        <v>3</v>
      </c>
      <c r="K25" s="15">
        <v>15</v>
      </c>
      <c r="L25" s="15">
        <v>10</v>
      </c>
      <c r="M25" s="15">
        <v>5</v>
      </c>
      <c r="N25" s="63" t="s">
        <v>131</v>
      </c>
      <c r="O25" s="26">
        <f t="shared" si="2"/>
        <v>3</v>
      </c>
    </row>
    <row r="26" spans="1:20" ht="15.75">
      <c r="A26" s="13">
        <v>23</v>
      </c>
      <c r="B26" s="113" t="s">
        <v>323</v>
      </c>
      <c r="C26" s="113" t="s">
        <v>49</v>
      </c>
      <c r="D26" s="112" t="s">
        <v>324</v>
      </c>
      <c r="E26" s="119">
        <v>13</v>
      </c>
      <c r="F26" s="112"/>
      <c r="G26" s="18">
        <f t="shared" si="3"/>
        <v>13</v>
      </c>
      <c r="H26" s="14">
        <v>12</v>
      </c>
      <c r="I26" s="14">
        <v>2</v>
      </c>
      <c r="J26" s="14"/>
      <c r="K26" s="15">
        <v>14</v>
      </c>
      <c r="L26" s="15">
        <v>14</v>
      </c>
      <c r="M26" s="15">
        <v>0</v>
      </c>
      <c r="N26" s="63" t="s">
        <v>131</v>
      </c>
      <c r="O26" s="26">
        <f t="shared" si="2"/>
        <v>2</v>
      </c>
    </row>
    <row r="27" spans="1:20" ht="15.75">
      <c r="A27" s="13">
        <v>24</v>
      </c>
      <c r="B27" s="113" t="s">
        <v>416</v>
      </c>
      <c r="C27" s="112" t="s">
        <v>484</v>
      </c>
      <c r="D27" s="116" t="s">
        <v>476</v>
      </c>
      <c r="E27" s="112">
        <v>13</v>
      </c>
      <c r="F27" s="120"/>
      <c r="G27" s="18">
        <f t="shared" si="3"/>
        <v>13</v>
      </c>
      <c r="H27" s="14">
        <v>12</v>
      </c>
      <c r="I27" s="14">
        <v>1</v>
      </c>
      <c r="J27" s="14"/>
      <c r="K27" s="15">
        <v>13</v>
      </c>
      <c r="L27" s="15">
        <v>13</v>
      </c>
      <c r="M27" s="15">
        <v>0</v>
      </c>
      <c r="N27" s="63" t="s">
        <v>131</v>
      </c>
      <c r="O27" s="26">
        <f t="shared" si="2"/>
        <v>1</v>
      </c>
      <c r="S27" s="115" t="s">
        <v>229</v>
      </c>
      <c r="T27" s="117" t="s">
        <v>309</v>
      </c>
    </row>
    <row r="28" spans="1:20" ht="15.75">
      <c r="A28" s="13">
        <v>25</v>
      </c>
      <c r="B28" s="113" t="s">
        <v>325</v>
      </c>
      <c r="C28" s="113" t="s">
        <v>20</v>
      </c>
      <c r="D28" s="112" t="s">
        <v>329</v>
      </c>
      <c r="E28" s="116">
        <v>13</v>
      </c>
      <c r="F28" s="116"/>
      <c r="G28" s="18">
        <f t="shared" si="3"/>
        <v>13</v>
      </c>
      <c r="H28" s="14">
        <v>12</v>
      </c>
      <c r="I28" s="14"/>
      <c r="J28" s="14">
        <v>3</v>
      </c>
      <c r="K28" s="15">
        <v>15</v>
      </c>
      <c r="L28" s="15">
        <v>10</v>
      </c>
      <c r="M28" s="15">
        <v>5</v>
      </c>
      <c r="N28" s="63" t="s">
        <v>131</v>
      </c>
      <c r="O28" s="26">
        <f t="shared" si="2"/>
        <v>3</v>
      </c>
      <c r="S28" s="115" t="s">
        <v>72</v>
      </c>
      <c r="T28" s="117" t="s">
        <v>332</v>
      </c>
    </row>
    <row r="29" spans="1:20" ht="15.75">
      <c r="A29" s="13">
        <v>26</v>
      </c>
      <c r="B29" s="113" t="s">
        <v>326</v>
      </c>
      <c r="C29" s="113" t="s">
        <v>474</v>
      </c>
      <c r="D29" s="112" t="s">
        <v>299</v>
      </c>
      <c r="E29" s="112">
        <v>13</v>
      </c>
      <c r="F29" s="112"/>
      <c r="G29" s="18">
        <f t="shared" si="3"/>
        <v>13</v>
      </c>
      <c r="H29" s="14">
        <v>12</v>
      </c>
      <c r="I29" s="14">
        <v>4</v>
      </c>
      <c r="J29" s="14"/>
      <c r="K29" s="15">
        <v>16</v>
      </c>
      <c r="L29" s="15">
        <v>16</v>
      </c>
      <c r="M29" s="15">
        <v>0</v>
      </c>
      <c r="N29" s="63" t="s">
        <v>131</v>
      </c>
      <c r="O29" s="26">
        <f t="shared" si="2"/>
        <v>4</v>
      </c>
      <c r="S29" s="118" t="s">
        <v>157</v>
      </c>
      <c r="T29" s="117" t="s">
        <v>313</v>
      </c>
    </row>
    <row r="30" spans="1:20" ht="15.75">
      <c r="A30" s="13">
        <v>27</v>
      </c>
      <c r="B30" s="113" t="s">
        <v>455</v>
      </c>
      <c r="C30" s="115" t="s">
        <v>327</v>
      </c>
      <c r="D30" s="116" t="s">
        <v>328</v>
      </c>
      <c r="E30" s="112">
        <v>13</v>
      </c>
      <c r="F30" s="112"/>
      <c r="G30" s="18">
        <f t="shared" si="3"/>
        <v>13</v>
      </c>
      <c r="H30" s="14">
        <v>12</v>
      </c>
      <c r="I30" s="14"/>
      <c r="J30" s="14"/>
      <c r="K30" s="15">
        <v>12</v>
      </c>
      <c r="L30" s="15">
        <v>12</v>
      </c>
      <c r="M30" s="15">
        <v>0</v>
      </c>
      <c r="N30" s="63" t="s">
        <v>131</v>
      </c>
      <c r="O30" s="26">
        <f t="shared" si="2"/>
        <v>0</v>
      </c>
    </row>
    <row r="31" spans="1:20" ht="15.75">
      <c r="A31" s="13">
        <v>28</v>
      </c>
      <c r="B31" s="113" t="s">
        <v>330</v>
      </c>
      <c r="C31" s="115" t="s">
        <v>229</v>
      </c>
      <c r="D31" s="117" t="s">
        <v>309</v>
      </c>
      <c r="E31" s="112">
        <v>12</v>
      </c>
      <c r="F31" s="112"/>
      <c r="G31" s="14">
        <f t="shared" ref="G31:G36" si="4">E31+F31</f>
        <v>12</v>
      </c>
      <c r="H31" s="14">
        <v>12</v>
      </c>
      <c r="I31" s="14"/>
      <c r="J31" s="14">
        <v>3</v>
      </c>
      <c r="K31" s="15">
        <v>15</v>
      </c>
      <c r="L31" s="15">
        <v>0</v>
      </c>
      <c r="M31" s="15">
        <v>15</v>
      </c>
      <c r="N31" s="63"/>
      <c r="O31" s="26">
        <f t="shared" si="2"/>
        <v>3</v>
      </c>
    </row>
    <row r="32" spans="1:20" ht="15.75">
      <c r="A32" s="13">
        <v>29</v>
      </c>
      <c r="B32" s="115" t="s">
        <v>331</v>
      </c>
      <c r="C32" s="115" t="s">
        <v>72</v>
      </c>
      <c r="D32" s="117" t="s">
        <v>332</v>
      </c>
      <c r="E32" s="112">
        <v>12</v>
      </c>
      <c r="F32" s="116"/>
      <c r="G32" s="18">
        <f t="shared" si="4"/>
        <v>12</v>
      </c>
      <c r="H32" s="14">
        <v>12</v>
      </c>
      <c r="I32" s="14"/>
      <c r="J32" s="14">
        <v>3</v>
      </c>
      <c r="K32" s="15">
        <v>15</v>
      </c>
      <c r="L32" s="15">
        <v>0</v>
      </c>
      <c r="M32" s="15">
        <v>15</v>
      </c>
      <c r="N32" s="63"/>
      <c r="O32" s="26">
        <f t="shared" si="2"/>
        <v>3</v>
      </c>
    </row>
    <row r="33" spans="1:18" ht="15.75">
      <c r="A33" s="13">
        <v>30</v>
      </c>
      <c r="B33" s="115" t="s">
        <v>333</v>
      </c>
      <c r="C33" s="113" t="s">
        <v>156</v>
      </c>
      <c r="D33" s="114" t="s">
        <v>338</v>
      </c>
      <c r="E33" s="112">
        <v>12</v>
      </c>
      <c r="F33" s="112"/>
      <c r="G33" s="18">
        <f>E33+F33</f>
        <v>12</v>
      </c>
      <c r="H33" s="14">
        <v>12</v>
      </c>
      <c r="I33" s="14"/>
      <c r="J33" s="14">
        <v>5</v>
      </c>
      <c r="K33" s="15">
        <v>17</v>
      </c>
      <c r="L33" s="15">
        <v>0</v>
      </c>
      <c r="M33" s="15">
        <v>17</v>
      </c>
      <c r="N33" s="63"/>
      <c r="O33" s="26">
        <f t="shared" si="2"/>
        <v>5</v>
      </c>
      <c r="P33" s="174"/>
      <c r="Q33" s="175"/>
    </row>
    <row r="34" spans="1:18" ht="15.75">
      <c r="A34" s="13">
        <v>31</v>
      </c>
      <c r="B34" s="113" t="s">
        <v>334</v>
      </c>
      <c r="C34" s="112" t="s">
        <v>303</v>
      </c>
      <c r="D34" s="114" t="s">
        <v>300</v>
      </c>
      <c r="E34" s="112">
        <v>12</v>
      </c>
      <c r="F34" s="112"/>
      <c r="G34" s="14">
        <f t="shared" si="4"/>
        <v>12</v>
      </c>
      <c r="H34" s="14">
        <v>12</v>
      </c>
      <c r="I34" s="14"/>
      <c r="J34" s="110">
        <v>1</v>
      </c>
      <c r="K34" s="15">
        <v>13</v>
      </c>
      <c r="L34" s="15">
        <v>0</v>
      </c>
      <c r="M34" s="15">
        <v>13</v>
      </c>
      <c r="N34" s="111"/>
      <c r="O34" s="26">
        <f t="shared" si="2"/>
        <v>1</v>
      </c>
      <c r="P34" s="176"/>
      <c r="Q34" s="175"/>
    </row>
    <row r="35" spans="1:18" ht="15.75">
      <c r="A35" s="13">
        <v>32</v>
      </c>
      <c r="B35" s="113" t="s">
        <v>335</v>
      </c>
      <c r="C35" s="113" t="s">
        <v>126</v>
      </c>
      <c r="D35" s="114" t="s">
        <v>468</v>
      </c>
      <c r="E35" s="112">
        <v>12</v>
      </c>
      <c r="F35" s="112"/>
      <c r="G35" s="14">
        <f>E35+F35</f>
        <v>12</v>
      </c>
      <c r="H35" s="14">
        <v>12</v>
      </c>
      <c r="I35" s="14"/>
      <c r="J35" s="14">
        <v>3</v>
      </c>
      <c r="K35" s="15">
        <v>15</v>
      </c>
      <c r="L35" s="15">
        <v>0</v>
      </c>
      <c r="M35" s="15">
        <v>15</v>
      </c>
      <c r="N35" s="91"/>
      <c r="O35" s="26">
        <f t="shared" si="2"/>
        <v>3</v>
      </c>
      <c r="Q35" s="174"/>
      <c r="R35" s="175"/>
    </row>
    <row r="36" spans="1:18" ht="15.75">
      <c r="A36" s="13">
        <v>33</v>
      </c>
      <c r="B36" s="113" t="s">
        <v>337</v>
      </c>
      <c r="C36" s="113" t="s">
        <v>263</v>
      </c>
      <c r="D36" s="114" t="s">
        <v>315</v>
      </c>
      <c r="E36" s="112">
        <v>12</v>
      </c>
      <c r="F36" s="112">
        <v>-1</v>
      </c>
      <c r="G36" s="14">
        <f t="shared" si="4"/>
        <v>11</v>
      </c>
      <c r="H36" s="14">
        <v>11</v>
      </c>
      <c r="I36" s="14">
        <v>2</v>
      </c>
      <c r="J36" s="14">
        <v>1</v>
      </c>
      <c r="K36" s="15">
        <v>14</v>
      </c>
      <c r="L36" s="15">
        <v>2</v>
      </c>
      <c r="M36" s="15">
        <v>12</v>
      </c>
      <c r="N36" s="63" t="s">
        <v>515</v>
      </c>
      <c r="O36" s="26">
        <f t="shared" si="2"/>
        <v>3</v>
      </c>
    </row>
    <row r="37" spans="1:18" ht="15.75">
      <c r="A37" s="13">
        <v>34</v>
      </c>
      <c r="B37" s="113" t="s">
        <v>459</v>
      </c>
      <c r="C37" s="113" t="s">
        <v>155</v>
      </c>
      <c r="D37" s="114" t="s">
        <v>309</v>
      </c>
      <c r="E37" s="112">
        <v>12</v>
      </c>
      <c r="F37" s="112"/>
      <c r="G37" s="14">
        <f t="shared" ref="G37:G74" si="5">E37+F37</f>
        <v>12</v>
      </c>
      <c r="H37" s="14">
        <v>12</v>
      </c>
      <c r="I37" s="14"/>
      <c r="J37" s="14">
        <v>3</v>
      </c>
      <c r="K37" s="15">
        <v>15</v>
      </c>
      <c r="L37" s="15">
        <v>0</v>
      </c>
      <c r="M37" s="15">
        <v>15</v>
      </c>
      <c r="N37" s="63"/>
      <c r="O37" s="26">
        <f t="shared" si="2"/>
        <v>3</v>
      </c>
    </row>
    <row r="38" spans="1:18" ht="15.75">
      <c r="A38" s="13">
        <v>35</v>
      </c>
      <c r="B38" s="113" t="s">
        <v>460</v>
      </c>
      <c r="C38" s="113" t="s">
        <v>177</v>
      </c>
      <c r="D38" s="114" t="s">
        <v>332</v>
      </c>
      <c r="E38" s="112">
        <v>12</v>
      </c>
      <c r="F38" s="112"/>
      <c r="G38" s="14">
        <f t="shared" si="5"/>
        <v>12</v>
      </c>
      <c r="H38" s="14">
        <v>12</v>
      </c>
      <c r="I38" s="14"/>
      <c r="J38" s="14">
        <v>4</v>
      </c>
      <c r="K38" s="15">
        <v>16</v>
      </c>
      <c r="L38" s="15">
        <v>0</v>
      </c>
      <c r="M38" s="15">
        <v>16</v>
      </c>
      <c r="N38" s="63"/>
      <c r="O38" s="26">
        <f t="shared" si="2"/>
        <v>4</v>
      </c>
    </row>
    <row r="39" spans="1:18" ht="15.75">
      <c r="A39" s="13">
        <v>36</v>
      </c>
      <c r="B39" s="113" t="s">
        <v>461</v>
      </c>
      <c r="C39" s="113" t="s">
        <v>501</v>
      </c>
      <c r="D39" s="114" t="s">
        <v>309</v>
      </c>
      <c r="E39" s="112">
        <v>12</v>
      </c>
      <c r="F39" s="112"/>
      <c r="G39" s="14">
        <f t="shared" si="5"/>
        <v>12</v>
      </c>
      <c r="H39" s="14">
        <v>12</v>
      </c>
      <c r="I39" s="14"/>
      <c r="J39" s="14"/>
      <c r="K39" s="15">
        <v>12</v>
      </c>
      <c r="L39" s="15">
        <v>0</v>
      </c>
      <c r="M39" s="15">
        <v>12</v>
      </c>
      <c r="N39" s="63"/>
      <c r="O39" s="26">
        <f t="shared" si="2"/>
        <v>0</v>
      </c>
    </row>
    <row r="40" spans="1:18" ht="15.75">
      <c r="A40" s="13">
        <v>37</v>
      </c>
      <c r="B40" s="115" t="s">
        <v>118</v>
      </c>
      <c r="C40" s="113" t="s">
        <v>154</v>
      </c>
      <c r="D40" s="114" t="s">
        <v>336</v>
      </c>
      <c r="E40" s="112">
        <v>16</v>
      </c>
      <c r="F40" s="112">
        <v>-5</v>
      </c>
      <c r="G40" s="14">
        <f>E40+F40</f>
        <v>11</v>
      </c>
      <c r="H40" s="14">
        <v>11</v>
      </c>
      <c r="I40" s="14"/>
      <c r="J40" s="110">
        <v>3</v>
      </c>
      <c r="K40" s="15">
        <v>14</v>
      </c>
      <c r="L40" s="15">
        <v>0</v>
      </c>
      <c r="M40" s="15">
        <v>14</v>
      </c>
      <c r="N40" s="63" t="s">
        <v>423</v>
      </c>
      <c r="O40" s="26">
        <f t="shared" si="2"/>
        <v>3</v>
      </c>
    </row>
    <row r="41" spans="1:18" ht="15.75">
      <c r="A41" s="13">
        <v>38</v>
      </c>
      <c r="B41" s="115" t="s">
        <v>19</v>
      </c>
      <c r="C41" s="113" t="s">
        <v>339</v>
      </c>
      <c r="D41" s="117" t="s">
        <v>313</v>
      </c>
      <c r="E41" s="112">
        <v>14</v>
      </c>
      <c r="F41" s="112"/>
      <c r="G41" s="14">
        <f>E41+F41</f>
        <v>14</v>
      </c>
      <c r="H41" s="14">
        <v>14</v>
      </c>
      <c r="I41" s="14"/>
      <c r="J41" s="14">
        <v>1</v>
      </c>
      <c r="K41" s="15">
        <v>15</v>
      </c>
      <c r="L41" s="15">
        <v>0</v>
      </c>
      <c r="M41" s="15">
        <v>15</v>
      </c>
      <c r="N41" s="63"/>
      <c r="O41" s="26">
        <f t="shared" si="2"/>
        <v>1</v>
      </c>
    </row>
    <row r="42" spans="1:18" ht="15.75">
      <c r="A42" s="13">
        <v>39</v>
      </c>
      <c r="B42" s="115" t="s">
        <v>118</v>
      </c>
      <c r="C42" s="113" t="s">
        <v>592</v>
      </c>
      <c r="D42" s="117" t="s">
        <v>313</v>
      </c>
      <c r="E42" s="119">
        <v>14</v>
      </c>
      <c r="F42" s="119">
        <v>-1</v>
      </c>
      <c r="G42" s="18">
        <f>E42+F42</f>
        <v>13</v>
      </c>
      <c r="H42" s="14">
        <v>13</v>
      </c>
      <c r="I42" s="14"/>
      <c r="J42" s="14"/>
      <c r="K42" s="15">
        <v>13</v>
      </c>
      <c r="L42" s="15">
        <v>0</v>
      </c>
      <c r="M42" s="15">
        <v>13</v>
      </c>
      <c r="N42" s="91" t="s">
        <v>510</v>
      </c>
      <c r="O42" s="26">
        <f t="shared" si="2"/>
        <v>0</v>
      </c>
    </row>
    <row r="43" spans="1:18" ht="16.5">
      <c r="A43" s="13">
        <v>40</v>
      </c>
      <c r="B43" s="115" t="s">
        <v>19</v>
      </c>
      <c r="C43" s="115" t="s">
        <v>168</v>
      </c>
      <c r="D43" s="117" t="s">
        <v>341</v>
      </c>
      <c r="E43" s="116">
        <v>16</v>
      </c>
      <c r="F43" s="112">
        <v>-3</v>
      </c>
      <c r="G43" s="18">
        <f>E43+F43</f>
        <v>13</v>
      </c>
      <c r="H43" s="14">
        <v>13</v>
      </c>
      <c r="I43" s="14"/>
      <c r="J43" s="14">
        <v>2</v>
      </c>
      <c r="K43" s="15">
        <v>15</v>
      </c>
      <c r="L43" s="15">
        <v>0</v>
      </c>
      <c r="M43" s="15">
        <v>15</v>
      </c>
      <c r="N43" s="63" t="s">
        <v>439</v>
      </c>
      <c r="O43" s="26">
        <f t="shared" si="2"/>
        <v>2</v>
      </c>
      <c r="P43" s="10"/>
    </row>
    <row r="44" spans="1:18" ht="15.75">
      <c r="A44" s="13">
        <v>41</v>
      </c>
      <c r="B44" s="115" t="s">
        <v>118</v>
      </c>
      <c r="C44" s="115" t="s">
        <v>456</v>
      </c>
      <c r="D44" s="116" t="s">
        <v>328</v>
      </c>
      <c r="E44" s="116">
        <v>18</v>
      </c>
      <c r="F44" s="116">
        <v>-1</v>
      </c>
      <c r="G44" s="18">
        <f t="shared" si="5"/>
        <v>17</v>
      </c>
      <c r="H44" s="14">
        <v>16</v>
      </c>
      <c r="I44" s="14"/>
      <c r="J44" s="14"/>
      <c r="K44" s="15">
        <v>16</v>
      </c>
      <c r="L44" s="15">
        <v>5</v>
      </c>
      <c r="M44" s="15">
        <v>11</v>
      </c>
      <c r="N44" s="63" t="s">
        <v>193</v>
      </c>
      <c r="O44" s="26">
        <f t="shared" si="2"/>
        <v>0</v>
      </c>
    </row>
    <row r="45" spans="1:18" ht="15.75">
      <c r="A45" s="13">
        <v>42</v>
      </c>
      <c r="B45" s="115" t="s">
        <v>457</v>
      </c>
      <c r="C45" s="115" t="s">
        <v>480</v>
      </c>
      <c r="D45" s="117" t="s">
        <v>342</v>
      </c>
      <c r="E45" s="116"/>
      <c r="F45" s="112"/>
      <c r="G45" s="18"/>
      <c r="H45" s="14"/>
      <c r="I45" s="14"/>
      <c r="J45" s="14"/>
      <c r="K45" s="15">
        <v>0</v>
      </c>
      <c r="L45" s="15">
        <v>0</v>
      </c>
      <c r="M45" s="15">
        <v>0</v>
      </c>
      <c r="N45" s="63"/>
      <c r="O45" s="26">
        <f t="shared" si="2"/>
        <v>0</v>
      </c>
    </row>
    <row r="46" spans="1:18" ht="15.75">
      <c r="A46" s="13">
        <v>43</v>
      </c>
      <c r="B46" s="115" t="s">
        <v>118</v>
      </c>
      <c r="C46" s="112" t="s">
        <v>174</v>
      </c>
      <c r="D46" s="114" t="s">
        <v>315</v>
      </c>
      <c r="E46" s="116">
        <v>16</v>
      </c>
      <c r="F46" s="116"/>
      <c r="G46" s="18">
        <f t="shared" si="5"/>
        <v>16</v>
      </c>
      <c r="H46" s="19">
        <v>16</v>
      </c>
      <c r="I46" s="14">
        <v>2</v>
      </c>
      <c r="J46" s="14"/>
      <c r="K46" s="15">
        <v>18</v>
      </c>
      <c r="L46" s="15">
        <v>6</v>
      </c>
      <c r="M46" s="15">
        <v>12</v>
      </c>
      <c r="N46" s="63"/>
      <c r="O46" s="26">
        <f t="shared" si="2"/>
        <v>2</v>
      </c>
    </row>
    <row r="47" spans="1:18" ht="15.75">
      <c r="A47" s="13">
        <v>44</v>
      </c>
      <c r="B47" s="115" t="s">
        <v>118</v>
      </c>
      <c r="C47" s="115" t="s">
        <v>175</v>
      </c>
      <c r="D47" s="117" t="s">
        <v>312</v>
      </c>
      <c r="E47" s="116">
        <v>16</v>
      </c>
      <c r="F47" s="116"/>
      <c r="G47" s="18">
        <f t="shared" si="5"/>
        <v>16</v>
      </c>
      <c r="H47" s="19">
        <v>16</v>
      </c>
      <c r="I47" s="14"/>
      <c r="J47" s="14">
        <v>1</v>
      </c>
      <c r="K47" s="15">
        <v>17</v>
      </c>
      <c r="L47" s="15">
        <v>0</v>
      </c>
      <c r="M47" s="15">
        <v>17</v>
      </c>
      <c r="N47" s="63"/>
      <c r="O47" s="26">
        <f t="shared" si="2"/>
        <v>1</v>
      </c>
    </row>
    <row r="48" spans="1:18" ht="15.75">
      <c r="A48" s="13">
        <v>45</v>
      </c>
      <c r="B48" s="115" t="s">
        <v>477</v>
      </c>
      <c r="C48" s="113" t="s">
        <v>602</v>
      </c>
      <c r="D48" s="112" t="s">
        <v>606</v>
      </c>
      <c r="E48" s="116">
        <v>16</v>
      </c>
      <c r="F48" s="116">
        <v>-3</v>
      </c>
      <c r="G48" s="18">
        <f t="shared" si="5"/>
        <v>13</v>
      </c>
      <c r="H48" s="19">
        <v>12</v>
      </c>
      <c r="I48" s="14">
        <v>1</v>
      </c>
      <c r="J48" s="14"/>
      <c r="K48" s="15">
        <v>13</v>
      </c>
      <c r="L48" s="15">
        <v>13</v>
      </c>
      <c r="M48" s="15">
        <v>0</v>
      </c>
      <c r="N48" s="63" t="s">
        <v>619</v>
      </c>
      <c r="O48" s="26">
        <f t="shared" si="2"/>
        <v>1</v>
      </c>
    </row>
    <row r="49" spans="1:17" ht="15.75">
      <c r="A49" s="13">
        <v>46</v>
      </c>
      <c r="B49" s="115" t="s">
        <v>477</v>
      </c>
      <c r="C49" s="112" t="s">
        <v>348</v>
      </c>
      <c r="D49" s="117" t="s">
        <v>313</v>
      </c>
      <c r="E49" s="116">
        <v>14</v>
      </c>
      <c r="F49" s="116"/>
      <c r="G49" s="18">
        <f t="shared" si="5"/>
        <v>14</v>
      </c>
      <c r="H49" s="19">
        <v>14</v>
      </c>
      <c r="I49" s="14"/>
      <c r="J49" s="14"/>
      <c r="K49" s="15">
        <v>14</v>
      </c>
      <c r="L49" s="15">
        <v>10</v>
      </c>
      <c r="M49" s="15">
        <v>4</v>
      </c>
      <c r="N49" s="63"/>
      <c r="O49" s="26">
        <f t="shared" si="2"/>
        <v>0</v>
      </c>
    </row>
    <row r="50" spans="1:17" ht="15.75">
      <c r="A50" s="13">
        <v>47</v>
      </c>
      <c r="B50" s="115" t="s">
        <v>118</v>
      </c>
      <c r="C50" s="115" t="s">
        <v>119</v>
      </c>
      <c r="D50" s="116" t="s">
        <v>120</v>
      </c>
      <c r="E50" s="116"/>
      <c r="F50" s="116"/>
      <c r="G50" s="18"/>
      <c r="H50" s="19"/>
      <c r="I50" s="14"/>
      <c r="J50" s="14"/>
      <c r="K50" s="15">
        <v>0</v>
      </c>
      <c r="L50" s="15">
        <v>0</v>
      </c>
      <c r="M50" s="15">
        <v>0</v>
      </c>
      <c r="N50" s="63"/>
      <c r="O50" s="26">
        <f t="shared" si="2"/>
        <v>0</v>
      </c>
    </row>
    <row r="51" spans="1:17" ht="15.75">
      <c r="A51" s="13">
        <v>48</v>
      </c>
      <c r="B51" s="115" t="s">
        <v>118</v>
      </c>
      <c r="C51" s="115" t="s">
        <v>343</v>
      </c>
      <c r="D51" s="116" t="s">
        <v>120</v>
      </c>
      <c r="E51" s="116"/>
      <c r="F51" s="116"/>
      <c r="G51" s="18"/>
      <c r="H51" s="19"/>
      <c r="I51" s="14"/>
      <c r="J51" s="14"/>
      <c r="K51" s="15">
        <v>0</v>
      </c>
      <c r="L51" s="15">
        <v>0</v>
      </c>
      <c r="M51" s="15">
        <v>0</v>
      </c>
      <c r="N51" s="63"/>
      <c r="O51" s="26">
        <f t="shared" si="2"/>
        <v>0</v>
      </c>
    </row>
    <row r="52" spans="1:17" ht="15.75">
      <c r="A52" s="13">
        <v>49</v>
      </c>
      <c r="B52" s="115" t="s">
        <v>113</v>
      </c>
      <c r="C52" s="115" t="s">
        <v>80</v>
      </c>
      <c r="D52" s="116" t="s">
        <v>121</v>
      </c>
      <c r="E52" s="116"/>
      <c r="F52" s="116"/>
      <c r="G52" s="18">
        <f t="shared" si="5"/>
        <v>0</v>
      </c>
      <c r="H52" s="18"/>
      <c r="I52" s="14"/>
      <c r="J52" s="14"/>
      <c r="K52" s="15">
        <v>0</v>
      </c>
      <c r="L52" s="15">
        <v>0</v>
      </c>
      <c r="M52" s="15">
        <v>0</v>
      </c>
      <c r="N52" s="63"/>
      <c r="O52" s="26">
        <f t="shared" si="2"/>
        <v>0</v>
      </c>
    </row>
    <row r="53" spans="1:17" ht="15.75">
      <c r="A53" s="13">
        <v>50</v>
      </c>
      <c r="B53" s="115" t="s">
        <v>113</v>
      </c>
      <c r="C53" s="115" t="s">
        <v>112</v>
      </c>
      <c r="D53" s="116" t="s">
        <v>344</v>
      </c>
      <c r="E53" s="116"/>
      <c r="F53" s="116"/>
      <c r="G53" s="18">
        <f t="shared" si="5"/>
        <v>0</v>
      </c>
      <c r="H53" s="18"/>
      <c r="I53" s="14"/>
      <c r="J53" s="14"/>
      <c r="K53" s="15">
        <v>0</v>
      </c>
      <c r="L53" s="15">
        <v>0</v>
      </c>
      <c r="M53" s="15">
        <v>0</v>
      </c>
      <c r="N53" s="64" t="s">
        <v>198</v>
      </c>
      <c r="O53" s="26">
        <f t="shared" si="2"/>
        <v>0</v>
      </c>
    </row>
    <row r="54" spans="1:17" ht="15.75">
      <c r="A54" s="13">
        <v>51</v>
      </c>
      <c r="B54" s="115" t="s">
        <v>113</v>
      </c>
      <c r="C54" s="115" t="s">
        <v>345</v>
      </c>
      <c r="D54" s="116" t="s">
        <v>346</v>
      </c>
      <c r="E54" s="116"/>
      <c r="F54" s="116"/>
      <c r="G54" s="18">
        <f t="shared" si="5"/>
        <v>0</v>
      </c>
      <c r="H54" s="19"/>
      <c r="I54" s="14"/>
      <c r="J54" s="14"/>
      <c r="K54" s="15">
        <v>0</v>
      </c>
      <c r="L54" s="15">
        <v>0</v>
      </c>
      <c r="M54" s="15">
        <v>0</v>
      </c>
      <c r="N54" s="63"/>
      <c r="O54" s="26">
        <f t="shared" si="2"/>
        <v>0</v>
      </c>
    </row>
    <row r="55" spans="1:17" ht="15.75">
      <c r="A55" s="13">
        <v>52</v>
      </c>
      <c r="B55" s="115" t="s">
        <v>347</v>
      </c>
      <c r="C55" s="113" t="s">
        <v>612</v>
      </c>
      <c r="D55" s="116" t="s">
        <v>344</v>
      </c>
      <c r="E55" s="116"/>
      <c r="F55" s="116"/>
      <c r="G55" s="18">
        <f t="shared" si="5"/>
        <v>0</v>
      </c>
      <c r="H55" s="14"/>
      <c r="I55" s="14"/>
      <c r="J55" s="14"/>
      <c r="K55" s="15">
        <v>11</v>
      </c>
      <c r="L55" s="15">
        <v>0</v>
      </c>
      <c r="M55" s="15">
        <v>11</v>
      </c>
      <c r="N55" s="63"/>
      <c r="O55" s="26">
        <f t="shared" si="2"/>
        <v>11</v>
      </c>
    </row>
    <row r="56" spans="1:17" ht="15.75">
      <c r="A56" s="13">
        <v>53</v>
      </c>
      <c r="B56" s="115" t="s">
        <v>347</v>
      </c>
      <c r="C56" s="115" t="s">
        <v>280</v>
      </c>
      <c r="D56" s="116" t="s">
        <v>346</v>
      </c>
      <c r="E56" s="116"/>
      <c r="F56" s="116"/>
      <c r="G56" s="18">
        <f t="shared" si="5"/>
        <v>0</v>
      </c>
      <c r="H56" s="14"/>
      <c r="I56" s="14"/>
      <c r="J56" s="14"/>
      <c r="K56" s="15">
        <v>12</v>
      </c>
      <c r="L56" s="15">
        <v>6</v>
      </c>
      <c r="M56" s="15">
        <v>6</v>
      </c>
      <c r="N56" s="63"/>
      <c r="O56" s="26">
        <f t="shared" si="2"/>
        <v>12</v>
      </c>
      <c r="Q56" s="11"/>
    </row>
    <row r="57" spans="1:17" ht="15.75">
      <c r="A57" s="13">
        <v>54</v>
      </c>
      <c r="B57" s="115" t="s">
        <v>347</v>
      </c>
      <c r="C57" s="116" t="s">
        <v>376</v>
      </c>
      <c r="D57" s="116" t="s">
        <v>121</v>
      </c>
      <c r="E57" s="116"/>
      <c r="F57" s="116"/>
      <c r="G57" s="18">
        <f t="shared" si="5"/>
        <v>0</v>
      </c>
      <c r="H57" s="18"/>
      <c r="I57" s="14"/>
      <c r="J57" s="14"/>
      <c r="K57" s="15">
        <v>6</v>
      </c>
      <c r="L57" s="15">
        <v>1</v>
      </c>
      <c r="M57" s="15">
        <v>5</v>
      </c>
      <c r="N57" s="63"/>
      <c r="O57" s="26">
        <f t="shared" si="2"/>
        <v>6</v>
      </c>
    </row>
    <row r="58" spans="1:17" ht="15.75">
      <c r="A58" s="13">
        <v>55</v>
      </c>
      <c r="B58" s="115" t="s">
        <v>347</v>
      </c>
      <c r="C58" s="116" t="s">
        <v>498</v>
      </c>
      <c r="D58" s="116" t="s">
        <v>499</v>
      </c>
      <c r="E58" s="116"/>
      <c r="F58" s="116"/>
      <c r="G58" s="18"/>
      <c r="H58" s="18"/>
      <c r="I58" s="14"/>
      <c r="J58" s="14"/>
      <c r="K58" s="15">
        <v>6</v>
      </c>
      <c r="L58" s="15">
        <v>6</v>
      </c>
      <c r="M58" s="15">
        <v>0</v>
      </c>
      <c r="N58" s="63"/>
      <c r="O58" s="26"/>
    </row>
    <row r="59" spans="1:17" ht="15.75">
      <c r="A59" s="13">
        <v>56</v>
      </c>
      <c r="B59" s="115" t="s">
        <v>347</v>
      </c>
      <c r="C59" s="116"/>
      <c r="D59" s="116" t="s">
        <v>425</v>
      </c>
      <c r="E59" s="116"/>
      <c r="F59" s="116"/>
      <c r="G59" s="18"/>
      <c r="H59" s="18"/>
      <c r="I59" s="14"/>
      <c r="J59" s="14"/>
      <c r="K59" s="15">
        <v>0</v>
      </c>
      <c r="L59" s="15">
        <v>0</v>
      </c>
      <c r="M59" s="15">
        <v>0</v>
      </c>
      <c r="N59" s="63"/>
      <c r="O59" s="26"/>
    </row>
    <row r="60" spans="1:17" s="11" customFormat="1" ht="15.75">
      <c r="A60" s="13">
        <v>57</v>
      </c>
      <c r="B60" s="115" t="s">
        <v>122</v>
      </c>
      <c r="C60" s="112" t="s">
        <v>288</v>
      </c>
      <c r="D60" s="116" t="s">
        <v>311</v>
      </c>
      <c r="E60" s="116"/>
      <c r="F60" s="116"/>
      <c r="G60" s="18">
        <f t="shared" si="5"/>
        <v>0</v>
      </c>
      <c r="H60" s="14"/>
      <c r="I60" s="14"/>
      <c r="J60" s="14"/>
      <c r="K60" s="15">
        <v>12</v>
      </c>
      <c r="L60" s="15">
        <v>12</v>
      </c>
      <c r="M60" s="15">
        <v>0</v>
      </c>
      <c r="N60" s="64"/>
      <c r="O60" s="26">
        <f t="shared" si="2"/>
        <v>12</v>
      </c>
      <c r="Q60" s="2"/>
    </row>
    <row r="61" spans="1:17" ht="15.75">
      <c r="A61" s="13">
        <v>58</v>
      </c>
      <c r="B61" s="115" t="s">
        <v>122</v>
      </c>
      <c r="C61" s="115" t="s">
        <v>103</v>
      </c>
      <c r="D61" s="116" t="s">
        <v>318</v>
      </c>
      <c r="E61" s="116"/>
      <c r="F61" s="116"/>
      <c r="G61" s="18">
        <f t="shared" si="5"/>
        <v>0</v>
      </c>
      <c r="H61" s="18"/>
      <c r="I61" s="14"/>
      <c r="J61" s="14"/>
      <c r="K61" s="15">
        <v>4</v>
      </c>
      <c r="L61" s="15">
        <v>4</v>
      </c>
      <c r="M61" s="15">
        <v>0</v>
      </c>
      <c r="N61" s="63"/>
      <c r="O61" s="26">
        <f t="shared" si="2"/>
        <v>4</v>
      </c>
    </row>
    <row r="62" spans="1:17" ht="15.75">
      <c r="A62" s="13">
        <v>59</v>
      </c>
      <c r="B62" s="115" t="s">
        <v>122</v>
      </c>
      <c r="C62" s="125" t="s">
        <v>538</v>
      </c>
      <c r="D62" s="116" t="s">
        <v>349</v>
      </c>
      <c r="E62" s="116"/>
      <c r="F62" s="116"/>
      <c r="G62" s="18"/>
      <c r="H62" s="18"/>
      <c r="I62" s="14"/>
      <c r="J62" s="14"/>
      <c r="K62" s="15">
        <v>7</v>
      </c>
      <c r="L62" s="15">
        <v>7</v>
      </c>
      <c r="M62" s="15">
        <v>0</v>
      </c>
      <c r="N62" s="63"/>
      <c r="O62" s="26">
        <f t="shared" si="2"/>
        <v>7</v>
      </c>
    </row>
    <row r="63" spans="1:17" ht="15.75">
      <c r="A63" s="13">
        <v>60</v>
      </c>
      <c r="B63" s="115" t="s">
        <v>122</v>
      </c>
      <c r="C63" s="112" t="s">
        <v>486</v>
      </c>
      <c r="D63" s="116" t="s">
        <v>475</v>
      </c>
      <c r="E63" s="118"/>
      <c r="F63" s="18"/>
      <c r="G63" s="18"/>
      <c r="H63" s="18"/>
      <c r="I63" s="14"/>
      <c r="J63" s="14"/>
      <c r="K63" s="15">
        <v>11</v>
      </c>
      <c r="L63" s="15">
        <v>11</v>
      </c>
      <c r="M63" s="15">
        <v>0</v>
      </c>
      <c r="N63" s="63"/>
      <c r="O63" s="26"/>
    </row>
    <row r="64" spans="1:17" ht="15.75">
      <c r="A64" s="13">
        <v>61</v>
      </c>
      <c r="B64" s="115" t="s">
        <v>122</v>
      </c>
      <c r="C64" s="113" t="s">
        <v>287</v>
      </c>
      <c r="D64" s="117" t="s">
        <v>350</v>
      </c>
      <c r="E64" s="18"/>
      <c r="F64" s="18"/>
      <c r="G64" s="18"/>
      <c r="H64" s="18"/>
      <c r="I64" s="14"/>
      <c r="J64" s="14"/>
      <c r="K64" s="15">
        <v>1</v>
      </c>
      <c r="L64" s="15">
        <v>0</v>
      </c>
      <c r="M64" s="15">
        <v>1</v>
      </c>
      <c r="N64" s="63"/>
      <c r="O64" s="26">
        <f t="shared" si="2"/>
        <v>1</v>
      </c>
    </row>
    <row r="65" spans="1:15" ht="15.75">
      <c r="A65" s="13">
        <v>62</v>
      </c>
      <c r="B65" s="115" t="s">
        <v>122</v>
      </c>
      <c r="C65" s="113" t="s">
        <v>438</v>
      </c>
      <c r="D65" s="117" t="s">
        <v>422</v>
      </c>
      <c r="E65" s="18"/>
      <c r="F65" s="18"/>
      <c r="G65" s="18"/>
      <c r="H65" s="18"/>
      <c r="I65" s="14"/>
      <c r="J65" s="45"/>
      <c r="K65" s="15">
        <v>6</v>
      </c>
      <c r="L65" s="15">
        <v>0</v>
      </c>
      <c r="M65" s="15">
        <v>6</v>
      </c>
      <c r="N65" s="63" t="s">
        <v>523</v>
      </c>
      <c r="O65" s="26"/>
    </row>
    <row r="66" spans="1:15" ht="15.75">
      <c r="A66" s="13">
        <v>63</v>
      </c>
      <c r="B66" s="115" t="s">
        <v>122</v>
      </c>
      <c r="C66" s="113" t="s">
        <v>481</v>
      </c>
      <c r="D66" s="117" t="s">
        <v>482</v>
      </c>
      <c r="E66" s="18"/>
      <c r="F66" s="18"/>
      <c r="G66" s="18"/>
      <c r="H66" s="18"/>
      <c r="I66" s="14"/>
      <c r="J66" s="14"/>
      <c r="K66" s="15">
        <v>5</v>
      </c>
      <c r="L66" s="15">
        <v>4</v>
      </c>
      <c r="M66" s="15">
        <v>1</v>
      </c>
      <c r="N66" s="63"/>
      <c r="O66" s="26"/>
    </row>
    <row r="67" spans="1:15" ht="15.75">
      <c r="A67" s="13">
        <v>64</v>
      </c>
      <c r="B67" s="115" t="s">
        <v>122</v>
      </c>
      <c r="C67" s="113" t="s">
        <v>385</v>
      </c>
      <c r="D67" s="117" t="s">
        <v>386</v>
      </c>
      <c r="E67" s="18"/>
      <c r="F67" s="18"/>
      <c r="G67" s="18">
        <f t="shared" si="5"/>
        <v>0</v>
      </c>
      <c r="H67" s="18"/>
      <c r="I67" s="14"/>
      <c r="J67" s="14"/>
      <c r="K67" s="15">
        <v>3</v>
      </c>
      <c r="L67" s="15">
        <v>0</v>
      </c>
      <c r="M67" s="15">
        <v>3</v>
      </c>
      <c r="N67" s="63"/>
      <c r="O67" s="26"/>
    </row>
    <row r="68" spans="1:15" ht="15.75">
      <c r="A68" s="13">
        <v>65</v>
      </c>
      <c r="B68" s="115" t="s">
        <v>387</v>
      </c>
      <c r="C68" s="113" t="s">
        <v>388</v>
      </c>
      <c r="D68" s="117" t="s">
        <v>389</v>
      </c>
      <c r="E68" s="18"/>
      <c r="F68" s="18"/>
      <c r="G68" s="18">
        <f t="shared" si="5"/>
        <v>0</v>
      </c>
      <c r="H68" s="18"/>
      <c r="I68" s="14"/>
      <c r="J68" s="14"/>
      <c r="K68" s="15">
        <v>1</v>
      </c>
      <c r="L68" s="15">
        <v>0</v>
      </c>
      <c r="M68" s="15">
        <v>1</v>
      </c>
      <c r="N68" s="63"/>
      <c r="O68" s="26"/>
    </row>
    <row r="69" spans="1:15" ht="15.75">
      <c r="A69" s="13">
        <v>66</v>
      </c>
      <c r="B69" s="115" t="s">
        <v>390</v>
      </c>
      <c r="C69" s="113" t="s">
        <v>391</v>
      </c>
      <c r="D69" s="117" t="s">
        <v>392</v>
      </c>
      <c r="E69" s="18"/>
      <c r="F69" s="18"/>
      <c r="G69" s="18">
        <f t="shared" si="5"/>
        <v>0</v>
      </c>
      <c r="H69" s="18"/>
      <c r="I69" s="14"/>
      <c r="J69" s="14"/>
      <c r="K69" s="15">
        <v>2</v>
      </c>
      <c r="L69" s="15">
        <v>0</v>
      </c>
      <c r="M69" s="15">
        <v>2</v>
      </c>
      <c r="N69" s="63"/>
      <c r="O69" s="26"/>
    </row>
    <row r="70" spans="1:15" ht="15.75">
      <c r="A70" s="13">
        <v>67</v>
      </c>
      <c r="B70" s="115" t="s">
        <v>108</v>
      </c>
      <c r="C70" s="113" t="s">
        <v>98</v>
      </c>
      <c r="D70" s="116" t="s">
        <v>110</v>
      </c>
      <c r="E70" s="18"/>
      <c r="F70" s="18"/>
      <c r="G70" s="18">
        <f t="shared" si="5"/>
        <v>0</v>
      </c>
      <c r="H70" s="18"/>
      <c r="I70" s="14"/>
      <c r="J70" s="14"/>
      <c r="K70" s="15">
        <v>1</v>
      </c>
      <c r="L70" s="15">
        <v>1</v>
      </c>
      <c r="M70" s="15">
        <v>0</v>
      </c>
      <c r="N70" s="63"/>
      <c r="O70" s="26"/>
    </row>
    <row r="71" spans="1:15" ht="15.75">
      <c r="A71" s="13">
        <v>68</v>
      </c>
      <c r="B71" s="115" t="s">
        <v>108</v>
      </c>
      <c r="C71" s="113" t="s">
        <v>290</v>
      </c>
      <c r="D71" s="116" t="s">
        <v>351</v>
      </c>
      <c r="E71" s="18"/>
      <c r="F71" s="18"/>
      <c r="G71" s="18">
        <f t="shared" si="5"/>
        <v>0</v>
      </c>
      <c r="H71" s="18"/>
      <c r="I71" s="14"/>
      <c r="J71" s="14"/>
      <c r="K71" s="15">
        <v>1</v>
      </c>
      <c r="L71" s="15">
        <v>1</v>
      </c>
      <c r="M71" s="15">
        <v>0</v>
      </c>
      <c r="N71" s="63"/>
      <c r="O71" s="26"/>
    </row>
    <row r="72" spans="1:15" ht="15.75">
      <c r="A72" s="13">
        <v>69</v>
      </c>
      <c r="B72" s="115" t="s">
        <v>108</v>
      </c>
      <c r="C72" s="113" t="s">
        <v>111</v>
      </c>
      <c r="D72" s="116" t="s">
        <v>352</v>
      </c>
      <c r="E72" s="18"/>
      <c r="F72" s="18"/>
      <c r="G72" s="18">
        <f t="shared" si="5"/>
        <v>0</v>
      </c>
      <c r="H72" s="18"/>
      <c r="I72" s="14"/>
      <c r="J72" s="14"/>
      <c r="K72" s="15">
        <v>1</v>
      </c>
      <c r="L72" s="15">
        <v>1</v>
      </c>
      <c r="M72" s="15">
        <v>0</v>
      </c>
      <c r="N72" s="63"/>
      <c r="O72" s="26"/>
    </row>
    <row r="73" spans="1:15" ht="15.75">
      <c r="A73" s="13">
        <v>70</v>
      </c>
      <c r="B73" s="115" t="s">
        <v>108</v>
      </c>
      <c r="C73" s="113" t="s">
        <v>431</v>
      </c>
      <c r="D73" s="116" t="s">
        <v>432</v>
      </c>
      <c r="E73" s="18"/>
      <c r="F73" s="18"/>
      <c r="G73" s="18">
        <f t="shared" si="5"/>
        <v>0</v>
      </c>
      <c r="H73" s="18"/>
      <c r="I73" s="14"/>
      <c r="J73" s="14"/>
      <c r="K73" s="15">
        <v>0</v>
      </c>
      <c r="L73" s="15">
        <v>0</v>
      </c>
      <c r="M73" s="15">
        <v>0</v>
      </c>
      <c r="N73" s="63"/>
      <c r="O73" s="26"/>
    </row>
    <row r="74" spans="1:15" ht="15.75">
      <c r="A74" s="13">
        <v>71</v>
      </c>
      <c r="B74" s="161" t="s">
        <v>108</v>
      </c>
      <c r="C74" s="162" t="s">
        <v>418</v>
      </c>
      <c r="D74" s="163" t="s">
        <v>353</v>
      </c>
      <c r="E74" s="164"/>
      <c r="F74" s="164"/>
      <c r="G74" s="164">
        <f t="shared" si="5"/>
        <v>0</v>
      </c>
      <c r="H74" s="164"/>
      <c r="I74" s="165"/>
      <c r="J74" s="165"/>
      <c r="K74" s="15">
        <v>0</v>
      </c>
      <c r="L74" s="15">
        <v>0</v>
      </c>
      <c r="M74" s="15">
        <v>0</v>
      </c>
      <c r="N74" s="63"/>
      <c r="O74" s="26"/>
    </row>
    <row r="75" spans="1:15" ht="15.75">
      <c r="A75" s="13">
        <v>72</v>
      </c>
      <c r="B75" s="166" t="s">
        <v>108</v>
      </c>
      <c r="C75" s="167" t="s">
        <v>380</v>
      </c>
      <c r="D75" s="168" t="s">
        <v>426</v>
      </c>
      <c r="E75" s="169"/>
      <c r="F75" s="169"/>
      <c r="G75" s="169"/>
      <c r="H75" s="169"/>
      <c r="I75" s="169">
        <v>1</v>
      </c>
      <c r="J75" s="169">
        <v>0</v>
      </c>
      <c r="K75" s="15">
        <v>1</v>
      </c>
      <c r="L75" s="15">
        <v>1</v>
      </c>
      <c r="M75" s="15">
        <v>0</v>
      </c>
      <c r="N75" s="169"/>
    </row>
    <row r="76" spans="1:15" ht="15.75">
      <c r="A76" s="13">
        <v>73</v>
      </c>
      <c r="B76" s="166" t="s">
        <v>108</v>
      </c>
      <c r="C76" s="167" t="s">
        <v>394</v>
      </c>
      <c r="D76" s="168" t="s">
        <v>427</v>
      </c>
      <c r="E76" s="169"/>
      <c r="F76" s="169"/>
      <c r="G76" s="169"/>
      <c r="H76" s="169"/>
      <c r="I76" s="169">
        <v>1</v>
      </c>
      <c r="J76" s="169">
        <v>0</v>
      </c>
      <c r="K76" s="15">
        <v>1</v>
      </c>
      <c r="L76" s="15">
        <v>1</v>
      </c>
      <c r="M76" s="15">
        <v>0</v>
      </c>
      <c r="N76" s="169"/>
    </row>
    <row r="77" spans="1:15" ht="15.75">
      <c r="A77" s="13">
        <v>74</v>
      </c>
      <c r="B77" s="166" t="s">
        <v>108</v>
      </c>
      <c r="C77" s="167" t="s">
        <v>383</v>
      </c>
      <c r="D77" s="168" t="s">
        <v>428</v>
      </c>
      <c r="E77" s="169"/>
      <c r="F77" s="169"/>
      <c r="G77" s="169"/>
      <c r="H77" s="169"/>
      <c r="I77" s="169">
        <v>1</v>
      </c>
      <c r="J77" s="169">
        <v>0</v>
      </c>
      <c r="K77" s="15">
        <v>1</v>
      </c>
      <c r="L77" s="15">
        <v>0</v>
      </c>
      <c r="M77" s="15">
        <v>1</v>
      </c>
      <c r="N77" s="169"/>
    </row>
    <row r="78" spans="1:15" ht="15.75">
      <c r="A78" s="13">
        <v>75</v>
      </c>
      <c r="B78" s="166" t="s">
        <v>108</v>
      </c>
      <c r="C78" s="167" t="s">
        <v>521</v>
      </c>
      <c r="D78" s="168" t="s">
        <v>522</v>
      </c>
      <c r="E78" s="169"/>
      <c r="F78" s="169"/>
      <c r="G78" s="169"/>
      <c r="H78" s="169"/>
      <c r="I78" s="169"/>
      <c r="J78" s="169">
        <v>1</v>
      </c>
      <c r="K78" s="15">
        <v>0</v>
      </c>
      <c r="L78" s="15">
        <v>0</v>
      </c>
      <c r="M78" s="15">
        <v>0</v>
      </c>
      <c r="N78" s="169"/>
    </row>
    <row r="79" spans="1:15" ht="15.75">
      <c r="A79" s="13">
        <v>76</v>
      </c>
      <c r="B79" s="166" t="s">
        <v>108</v>
      </c>
      <c r="C79" s="167" t="s">
        <v>395</v>
      </c>
      <c r="D79" s="168" t="s">
        <v>429</v>
      </c>
      <c r="E79" s="169"/>
      <c r="F79" s="169"/>
      <c r="G79" s="169"/>
      <c r="H79" s="169"/>
      <c r="I79" s="169">
        <v>0</v>
      </c>
      <c r="J79" s="169">
        <v>1</v>
      </c>
      <c r="K79" s="15">
        <v>1</v>
      </c>
      <c r="L79" s="15">
        <v>0</v>
      </c>
      <c r="M79" s="15">
        <v>1</v>
      </c>
      <c r="N79" s="169"/>
    </row>
    <row r="80" spans="1:15" ht="15.75">
      <c r="A80" s="13">
        <v>77</v>
      </c>
      <c r="B80" s="166" t="s">
        <v>108</v>
      </c>
      <c r="C80" s="167" t="s">
        <v>520</v>
      </c>
      <c r="D80" s="168" t="s">
        <v>494</v>
      </c>
      <c r="E80" s="169"/>
      <c r="F80" s="169"/>
      <c r="G80" s="169"/>
      <c r="H80" s="169"/>
      <c r="I80" s="169">
        <v>0</v>
      </c>
      <c r="J80" s="169">
        <v>1</v>
      </c>
      <c r="K80" s="15">
        <v>0</v>
      </c>
      <c r="L80" s="15">
        <v>0</v>
      </c>
      <c r="M80" s="15">
        <v>0</v>
      </c>
      <c r="N80" s="168"/>
    </row>
    <row r="81" spans="1:14" ht="15.75">
      <c r="A81" s="13">
        <v>78</v>
      </c>
      <c r="B81" s="166" t="s">
        <v>108</v>
      </c>
      <c r="C81" s="170" t="s">
        <v>493</v>
      </c>
      <c r="D81" s="168" t="s">
        <v>430</v>
      </c>
      <c r="E81" s="169"/>
      <c r="F81" s="169"/>
      <c r="G81" s="169"/>
      <c r="H81" s="169"/>
      <c r="I81" s="169">
        <v>0</v>
      </c>
      <c r="J81" s="169">
        <v>1</v>
      </c>
      <c r="K81" s="15">
        <v>0</v>
      </c>
      <c r="L81" s="15">
        <v>0</v>
      </c>
      <c r="M81" s="15">
        <v>0</v>
      </c>
      <c r="N81" s="170"/>
    </row>
    <row r="82" spans="1:14" ht="15.75">
      <c r="A82" s="13">
        <v>79</v>
      </c>
      <c r="B82" s="166" t="s">
        <v>108</v>
      </c>
      <c r="C82" s="168" t="s">
        <v>433</v>
      </c>
      <c r="D82" s="170" t="s">
        <v>434</v>
      </c>
      <c r="E82" s="169"/>
      <c r="F82" s="169"/>
      <c r="G82" s="169"/>
      <c r="H82" s="169"/>
      <c r="I82" s="169">
        <v>0</v>
      </c>
      <c r="J82" s="169">
        <v>1</v>
      </c>
      <c r="K82" s="15">
        <v>0</v>
      </c>
      <c r="L82" s="15">
        <v>0</v>
      </c>
      <c r="M82" s="15">
        <v>0</v>
      </c>
      <c r="N82" s="169"/>
    </row>
    <row r="83" spans="1:14" ht="15.75">
      <c r="A83" s="13">
        <v>80</v>
      </c>
      <c r="B83" s="166" t="s">
        <v>108</v>
      </c>
      <c r="C83" s="179" t="s">
        <v>503</v>
      </c>
      <c r="D83" s="179" t="s">
        <v>504</v>
      </c>
      <c r="E83" s="169"/>
      <c r="F83" s="169"/>
      <c r="G83" s="169"/>
      <c r="H83" s="169"/>
      <c r="I83" s="169">
        <v>1</v>
      </c>
      <c r="J83" s="169">
        <v>0</v>
      </c>
      <c r="K83" s="15">
        <v>1</v>
      </c>
      <c r="L83" s="15">
        <v>1</v>
      </c>
      <c r="M83" s="15">
        <v>0</v>
      </c>
      <c r="N83" s="169"/>
    </row>
  </sheetData>
  <autoFilter ref="A3:N3" xr:uid="{B777696A-7F93-45B8-9CA9-159447D1C595}"/>
  <phoneticPr fontId="1" type="noConversion"/>
  <pageMargins left="0.70866141732283472" right="0.70866141732283472" top="0.35" bottom="0.36" header="0.31496062992125984" footer="0.31496062992125984"/>
  <pageSetup paperSize="8" scale="77" orientation="portrait" r:id="rId1"/>
  <headerFooter>
    <oddHeader xml:space="preserve">&amp;R&amp;T    &amp;D </oddHeader>
  </headerFooter>
  <drawing r:id="rId2"/>
  <legacyDrawing r:id="rId3"/>
  <controls>
    <mc:AlternateContent xmlns:mc="http://schemas.openxmlformats.org/markup-compatibility/2006">
      <mc:Choice Requires="x14">
        <control shapeId="4123" r:id="rId4" name="CommandButton1">
          <controlPr autoLine="0" autoPict="0" r:id="rId5">
            <anchor moveWithCells="1">
              <from>
                <xdr:col>13</xdr:col>
                <xdr:colOff>0</xdr:colOff>
                <xdr:row>0</xdr:row>
                <xdr:rowOff>38100</xdr:rowOff>
              </from>
              <to>
                <xdr:col>13</xdr:col>
                <xdr:colOff>914400</xdr:colOff>
                <xdr:row>1</xdr:row>
                <xdr:rowOff>133350</xdr:rowOff>
              </to>
            </anchor>
          </controlPr>
        </control>
      </mc:Choice>
      <mc:Fallback>
        <control shapeId="412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3"/>
    <pageSetUpPr fitToPage="1"/>
  </sheetPr>
  <dimension ref="A1:AF86"/>
  <sheetViews>
    <sheetView showGridLines="0" zoomScale="175" zoomScaleNormal="175" zoomScalePageLayoutView="85" workbookViewId="0">
      <pane xSplit="1" topLeftCell="W1" activePane="topRight" state="frozen"/>
      <selection pane="topRight" sqref="A1:AC37"/>
    </sheetView>
  </sheetViews>
  <sheetFormatPr defaultColWidth="9" defaultRowHeight="15.75"/>
  <cols>
    <col min="1" max="1" width="19.875" style="27" customWidth="1"/>
    <col min="2" max="7" width="9" style="27"/>
    <col min="8" max="8" width="8.875" style="27" customWidth="1"/>
    <col min="9" max="28" width="9" style="27"/>
    <col min="29" max="16384" width="9" style="28"/>
  </cols>
  <sheetData>
    <row r="1" spans="1:31" ht="20.25">
      <c r="A1" s="21" t="s">
        <v>502</v>
      </c>
    </row>
    <row r="2" spans="1:31">
      <c r="A2" s="29"/>
    </row>
    <row r="3" spans="1:31" ht="16.5">
      <c r="A3" s="30" t="s">
        <v>52</v>
      </c>
      <c r="B3" s="31" t="s">
        <v>186</v>
      </c>
      <c r="W3" s="27" t="s">
        <v>23</v>
      </c>
    </row>
    <row r="4" spans="1:31" ht="47.25">
      <c r="A4" s="20" t="s">
        <v>187</v>
      </c>
      <c r="B4" s="90" t="s">
        <v>231</v>
      </c>
      <c r="C4" s="20" t="s">
        <v>182</v>
      </c>
      <c r="D4" s="20" t="s">
        <v>28</v>
      </c>
      <c r="E4" s="20" t="s">
        <v>132</v>
      </c>
      <c r="F4" s="20" t="s">
        <v>22</v>
      </c>
      <c r="G4" s="20" t="s">
        <v>133</v>
      </c>
      <c r="H4" s="20" t="s">
        <v>23</v>
      </c>
      <c r="I4" s="20" t="s">
        <v>235</v>
      </c>
      <c r="J4" s="20" t="s">
        <v>134</v>
      </c>
      <c r="K4" s="20" t="s">
        <v>135</v>
      </c>
      <c r="L4" s="20" t="s">
        <v>136</v>
      </c>
      <c r="M4" s="20" t="s">
        <v>26</v>
      </c>
      <c r="N4" s="20" t="s">
        <v>137</v>
      </c>
      <c r="O4" s="20" t="s">
        <v>138</v>
      </c>
      <c r="P4" s="20" t="s">
        <v>139</v>
      </c>
      <c r="Q4" s="20" t="s">
        <v>24</v>
      </c>
      <c r="R4" s="20" t="s">
        <v>140</v>
      </c>
      <c r="S4" s="20" t="s">
        <v>261</v>
      </c>
      <c r="T4" s="20" t="s">
        <v>141</v>
      </c>
      <c r="U4" s="20" t="s">
        <v>99</v>
      </c>
      <c r="V4" s="60" t="s">
        <v>142</v>
      </c>
      <c r="W4" s="60" t="s">
        <v>225</v>
      </c>
      <c r="X4" s="40" t="s">
        <v>437</v>
      </c>
      <c r="Y4" s="40" t="s">
        <v>143</v>
      </c>
      <c r="Z4" s="155" t="s">
        <v>171</v>
      </c>
      <c r="AA4" s="155" t="s">
        <v>172</v>
      </c>
      <c r="AB4" s="182" t="s">
        <v>528</v>
      </c>
      <c r="AC4" s="20" t="s">
        <v>31</v>
      </c>
      <c r="AD4" s="27"/>
      <c r="AE4" s="27"/>
    </row>
    <row r="5" spans="1:31">
      <c r="A5" s="20" t="s">
        <v>32</v>
      </c>
      <c r="B5" s="20">
        <v>1</v>
      </c>
      <c r="C5" s="20">
        <v>1</v>
      </c>
      <c r="D5" s="20">
        <v>5</v>
      </c>
      <c r="E5" s="20">
        <v>3</v>
      </c>
      <c r="F5" s="20">
        <v>4</v>
      </c>
      <c r="G5" s="20">
        <v>1</v>
      </c>
      <c r="H5" s="20">
        <v>1</v>
      </c>
      <c r="I5" s="20">
        <v>1</v>
      </c>
      <c r="J5" s="20">
        <v>3</v>
      </c>
      <c r="K5" s="20">
        <v>1</v>
      </c>
      <c r="L5" s="20">
        <v>1</v>
      </c>
      <c r="M5" s="20">
        <v>1</v>
      </c>
      <c r="N5" s="20">
        <v>1</v>
      </c>
      <c r="O5" s="20">
        <v>1</v>
      </c>
      <c r="P5" s="20">
        <v>1</v>
      </c>
      <c r="Q5" s="20">
        <v>1</v>
      </c>
      <c r="R5" s="20">
        <v>1</v>
      </c>
      <c r="S5" s="20">
        <v>1</v>
      </c>
      <c r="T5" s="20">
        <v>2</v>
      </c>
      <c r="U5" s="20">
        <v>1</v>
      </c>
      <c r="V5" s="40">
        <v>1</v>
      </c>
      <c r="W5" s="40">
        <v>1</v>
      </c>
      <c r="X5" s="40">
        <v>1</v>
      </c>
      <c r="Y5" s="40">
        <v>1</v>
      </c>
      <c r="Z5" s="40">
        <v>3</v>
      </c>
      <c r="AA5" s="40">
        <v>2</v>
      </c>
      <c r="AB5" s="40">
        <v>1</v>
      </c>
      <c r="AC5" s="20">
        <f>SUM(B5:Y5)</f>
        <v>36</v>
      </c>
      <c r="AD5" s="27"/>
      <c r="AE5" s="27"/>
    </row>
    <row r="6" spans="1:31">
      <c r="A6" s="121" t="s">
        <v>618</v>
      </c>
      <c r="B6" s="123" t="s">
        <v>594</v>
      </c>
      <c r="C6" s="112" t="s">
        <v>497</v>
      </c>
      <c r="D6" s="112" t="s">
        <v>57</v>
      </c>
      <c r="E6" s="112" t="s">
        <v>45</v>
      </c>
      <c r="F6" s="112" t="s">
        <v>603</v>
      </c>
      <c r="G6" s="112" t="s">
        <v>593</v>
      </c>
      <c r="H6" s="112" t="s">
        <v>51</v>
      </c>
      <c r="I6" s="113" t="s">
        <v>49</v>
      </c>
      <c r="J6" s="112" t="s">
        <v>226</v>
      </c>
      <c r="K6" s="112" t="s">
        <v>20</v>
      </c>
      <c r="L6" s="112" t="s">
        <v>48</v>
      </c>
      <c r="M6" s="112" t="s">
        <v>297</v>
      </c>
      <c r="N6" s="112" t="s">
        <v>100</v>
      </c>
      <c r="O6" s="125" t="s">
        <v>538</v>
      </c>
      <c r="P6" s="112" t="s">
        <v>14</v>
      </c>
      <c r="Q6" s="112" t="s">
        <v>49</v>
      </c>
      <c r="R6" s="112" t="s">
        <v>297</v>
      </c>
      <c r="S6" s="112" t="s">
        <v>382</v>
      </c>
      <c r="T6" s="112" t="s">
        <v>327</v>
      </c>
      <c r="U6" s="159" t="s">
        <v>278</v>
      </c>
      <c r="V6" s="112" t="s">
        <v>45</v>
      </c>
      <c r="W6" s="112" t="s">
        <v>51</v>
      </c>
      <c r="X6" s="112" t="s">
        <v>602</v>
      </c>
      <c r="Y6" s="112" t="s">
        <v>479</v>
      </c>
      <c r="Z6" s="159" t="s">
        <v>278</v>
      </c>
      <c r="AA6" s="159" t="s">
        <v>278</v>
      </c>
      <c r="AB6" s="159" t="s">
        <v>278</v>
      </c>
      <c r="AC6" s="14"/>
      <c r="AD6" s="27"/>
      <c r="AE6" s="27"/>
    </row>
    <row r="7" spans="1:31">
      <c r="A7" s="121" t="s">
        <v>616</v>
      </c>
      <c r="B7" s="123" t="s">
        <v>604</v>
      </c>
      <c r="C7" s="112" t="s">
        <v>488</v>
      </c>
      <c r="D7" s="112" t="s">
        <v>602</v>
      </c>
      <c r="E7" s="112" t="s">
        <v>45</v>
      </c>
      <c r="F7" s="112" t="s">
        <v>603</v>
      </c>
      <c r="G7" s="112" t="s">
        <v>600</v>
      </c>
      <c r="H7" s="112" t="s">
        <v>51</v>
      </c>
      <c r="I7" s="113" t="s">
        <v>49</v>
      </c>
      <c r="J7" s="113" t="s">
        <v>474</v>
      </c>
      <c r="K7" s="112" t="s">
        <v>20</v>
      </c>
      <c r="L7" s="112" t="s">
        <v>48</v>
      </c>
      <c r="M7" s="112" t="s">
        <v>297</v>
      </c>
      <c r="N7" s="112" t="s">
        <v>100</v>
      </c>
      <c r="O7" s="125" t="s">
        <v>538</v>
      </c>
      <c r="P7" s="112" t="s">
        <v>14</v>
      </c>
      <c r="Q7" s="112" t="s">
        <v>466</v>
      </c>
      <c r="R7" s="112" t="s">
        <v>297</v>
      </c>
      <c r="S7" s="112" t="s">
        <v>382</v>
      </c>
      <c r="T7" s="112" t="s">
        <v>327</v>
      </c>
      <c r="U7" s="159" t="s">
        <v>278</v>
      </c>
      <c r="V7" s="112" t="s">
        <v>45</v>
      </c>
      <c r="W7" s="112" t="s">
        <v>51</v>
      </c>
      <c r="X7" s="112" t="s">
        <v>602</v>
      </c>
      <c r="Y7" s="112" t="s">
        <v>479</v>
      </c>
      <c r="Z7" s="159" t="s">
        <v>278</v>
      </c>
      <c r="AA7" s="159" t="s">
        <v>278</v>
      </c>
      <c r="AB7" s="159" t="s">
        <v>278</v>
      </c>
      <c r="AC7" s="14"/>
      <c r="AD7" s="27"/>
      <c r="AE7" s="27"/>
    </row>
    <row r="8" spans="1:31">
      <c r="A8" s="36" t="s">
        <v>596</v>
      </c>
      <c r="B8" s="123" t="s">
        <v>297</v>
      </c>
      <c r="C8" s="112" t="s">
        <v>602</v>
      </c>
      <c r="D8" s="112" t="s">
        <v>602</v>
      </c>
      <c r="E8" s="112" t="s">
        <v>484</v>
      </c>
      <c r="F8" s="112" t="s">
        <v>603</v>
      </c>
      <c r="G8" s="112" t="s">
        <v>593</v>
      </c>
      <c r="H8" s="112" t="s">
        <v>51</v>
      </c>
      <c r="I8" s="113" t="s">
        <v>49</v>
      </c>
      <c r="J8" s="113" t="s">
        <v>474</v>
      </c>
      <c r="K8" s="112" t="s">
        <v>20</v>
      </c>
      <c r="L8" s="112" t="s">
        <v>48</v>
      </c>
      <c r="M8" s="112" t="s">
        <v>402</v>
      </c>
      <c r="N8" s="112" t="s">
        <v>100</v>
      </c>
      <c r="O8" s="125" t="s">
        <v>402</v>
      </c>
      <c r="P8" s="112" t="s">
        <v>402</v>
      </c>
      <c r="Q8" s="112" t="s">
        <v>49</v>
      </c>
      <c r="R8" s="112" t="s">
        <v>297</v>
      </c>
      <c r="S8" s="112" t="s">
        <v>382</v>
      </c>
      <c r="T8" s="159" t="s">
        <v>278</v>
      </c>
      <c r="U8" s="112" t="s">
        <v>327</v>
      </c>
      <c r="V8" s="112" t="s">
        <v>484</v>
      </c>
      <c r="W8" s="112" t="s">
        <v>278</v>
      </c>
      <c r="X8" s="112" t="s">
        <v>278</v>
      </c>
      <c r="Y8" s="112" t="s">
        <v>496</v>
      </c>
      <c r="Z8" s="115"/>
      <c r="AA8" s="115" t="s">
        <v>280</v>
      </c>
      <c r="AB8" s="115"/>
      <c r="AC8" s="14"/>
      <c r="AD8" s="27"/>
      <c r="AE8" s="27"/>
    </row>
    <row r="9" spans="1:31">
      <c r="A9" s="43"/>
      <c r="B9" s="123"/>
      <c r="C9" s="74"/>
      <c r="D9" s="75"/>
      <c r="E9" s="75"/>
      <c r="F9" s="81"/>
      <c r="G9" s="81"/>
      <c r="H9" s="74"/>
      <c r="I9" s="75"/>
      <c r="J9" s="75"/>
      <c r="K9" s="74"/>
      <c r="L9" s="74"/>
      <c r="M9" s="75"/>
      <c r="N9" s="75"/>
      <c r="O9" s="75"/>
      <c r="P9" s="82"/>
      <c r="Q9" s="74"/>
      <c r="R9" s="74"/>
      <c r="S9" s="75"/>
      <c r="T9" s="74"/>
      <c r="U9" s="74"/>
      <c r="V9" s="75"/>
      <c r="W9" s="74"/>
      <c r="X9" s="74"/>
      <c r="Y9" s="74"/>
      <c r="Z9" s="74"/>
      <c r="AA9" s="74"/>
      <c r="AB9" s="75"/>
      <c r="AC9" s="27"/>
      <c r="AD9" s="27"/>
    </row>
    <row r="10" spans="1:31">
      <c r="A10" s="43"/>
      <c r="B10" s="43"/>
      <c r="C10" s="74"/>
      <c r="D10" s="75"/>
      <c r="E10" s="75"/>
      <c r="F10" s="81"/>
      <c r="G10" s="81"/>
      <c r="H10" s="74"/>
      <c r="I10" s="75"/>
      <c r="J10" s="75"/>
      <c r="K10" s="74"/>
      <c r="L10" s="74"/>
      <c r="M10" s="75"/>
      <c r="N10" s="75"/>
      <c r="O10" s="74"/>
      <c r="P10" s="75"/>
      <c r="Q10" s="74"/>
      <c r="R10" s="74"/>
      <c r="S10" s="75"/>
      <c r="T10" s="74"/>
      <c r="U10" s="74"/>
      <c r="V10" s="75"/>
      <c r="W10" s="75"/>
      <c r="X10" s="74"/>
      <c r="Y10" s="74"/>
      <c r="Z10" s="74"/>
      <c r="AA10" s="74"/>
      <c r="AB10" s="75"/>
      <c r="AC10" s="27"/>
      <c r="AD10" s="27"/>
    </row>
    <row r="11" spans="1:31">
      <c r="A11" s="37"/>
      <c r="B11" s="37"/>
      <c r="D11" s="37"/>
      <c r="E11" s="37"/>
      <c r="F11" s="37"/>
      <c r="G11" s="37"/>
      <c r="H11" s="37"/>
      <c r="I11" s="38"/>
      <c r="J11" s="39"/>
      <c r="K11" s="37"/>
      <c r="L11" s="39"/>
      <c r="M11" s="39"/>
      <c r="N11" s="37"/>
      <c r="O11" s="37"/>
      <c r="P11" s="37"/>
      <c r="Q11" s="39"/>
      <c r="R11" s="37"/>
      <c r="T11" s="158" t="s">
        <v>409</v>
      </c>
      <c r="U11" s="158" t="s">
        <v>374</v>
      </c>
      <c r="Y11" s="37"/>
      <c r="Z11" s="92" t="s">
        <v>407</v>
      </c>
      <c r="AA11" s="92" t="s">
        <v>407</v>
      </c>
      <c r="AB11" s="92" t="s">
        <v>408</v>
      </c>
    </row>
    <row r="12" spans="1:31">
      <c r="A12" s="29"/>
    </row>
    <row r="13" spans="1:31" ht="16.5">
      <c r="A13" s="30" t="s">
        <v>53</v>
      </c>
      <c r="B13" s="31" t="s">
        <v>188</v>
      </c>
      <c r="X13" s="27" t="s">
        <v>21</v>
      </c>
    </row>
    <row r="14" spans="1:31" ht="47.25">
      <c r="A14" s="20" t="s">
        <v>187</v>
      </c>
      <c r="B14" s="90" t="s">
        <v>231</v>
      </c>
      <c r="C14" s="20" t="s">
        <v>182</v>
      </c>
      <c r="D14" s="20" t="s">
        <v>28</v>
      </c>
      <c r="E14" s="20" t="s">
        <v>144</v>
      </c>
      <c r="F14" s="20" t="s">
        <v>22</v>
      </c>
      <c r="G14" s="20" t="s">
        <v>145</v>
      </c>
      <c r="H14" s="20" t="s">
        <v>146</v>
      </c>
      <c r="I14" s="20" t="s">
        <v>235</v>
      </c>
      <c r="J14" s="20" t="s">
        <v>27</v>
      </c>
      <c r="K14" s="20" t="s">
        <v>135</v>
      </c>
      <c r="L14" s="20" t="s">
        <v>136</v>
      </c>
      <c r="M14" s="20" t="s">
        <v>26</v>
      </c>
      <c r="N14" s="20" t="s">
        <v>137</v>
      </c>
      <c r="O14" s="20" t="s">
        <v>138</v>
      </c>
      <c r="P14" s="20" t="s">
        <v>102</v>
      </c>
      <c r="Q14" s="20" t="s">
        <v>24</v>
      </c>
      <c r="R14" s="20" t="s">
        <v>140</v>
      </c>
      <c r="S14" s="20" t="s">
        <v>261</v>
      </c>
      <c r="T14" s="20" t="s">
        <v>99</v>
      </c>
      <c r="U14" s="20" t="s">
        <v>99</v>
      </c>
      <c r="V14" s="78" t="s">
        <v>223</v>
      </c>
      <c r="W14" s="60" t="s">
        <v>142</v>
      </c>
      <c r="X14" s="60" t="s">
        <v>225</v>
      </c>
      <c r="Y14" s="40" t="s">
        <v>372</v>
      </c>
      <c r="Z14" s="155" t="s">
        <v>171</v>
      </c>
      <c r="AA14" s="155" t="s">
        <v>172</v>
      </c>
      <c r="AB14" s="182" t="s">
        <v>527</v>
      </c>
      <c r="AC14" s="20" t="s">
        <v>31</v>
      </c>
      <c r="AD14" s="27"/>
      <c r="AE14" s="27"/>
    </row>
    <row r="15" spans="1:31">
      <c r="A15" s="20" t="s">
        <v>32</v>
      </c>
      <c r="B15" s="20">
        <v>1</v>
      </c>
      <c r="C15" s="20">
        <v>1</v>
      </c>
      <c r="D15" s="20">
        <v>5</v>
      </c>
      <c r="E15" s="20">
        <v>3</v>
      </c>
      <c r="F15" s="20">
        <v>4</v>
      </c>
      <c r="G15" s="20">
        <v>1</v>
      </c>
      <c r="H15" s="20">
        <v>1</v>
      </c>
      <c r="I15" s="20">
        <v>1</v>
      </c>
      <c r="J15" s="20">
        <v>3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20">
        <v>1</v>
      </c>
      <c r="Q15" s="20">
        <v>1</v>
      </c>
      <c r="R15" s="20">
        <v>1</v>
      </c>
      <c r="S15" s="43">
        <v>1</v>
      </c>
      <c r="T15" s="20">
        <v>2</v>
      </c>
      <c r="U15" s="20">
        <v>1</v>
      </c>
      <c r="V15" s="40">
        <v>1</v>
      </c>
      <c r="W15" s="40">
        <v>1</v>
      </c>
      <c r="X15" s="40">
        <v>1</v>
      </c>
      <c r="Y15" s="40">
        <v>1</v>
      </c>
      <c r="Z15" s="40">
        <v>3</v>
      </c>
      <c r="AA15" s="40">
        <v>2</v>
      </c>
      <c r="AB15" s="40">
        <v>1</v>
      </c>
      <c r="AC15" s="20">
        <f>SUM(B15:Y15)</f>
        <v>36</v>
      </c>
      <c r="AD15" s="27"/>
      <c r="AE15" s="27"/>
    </row>
    <row r="16" spans="1:31">
      <c r="A16" s="20" t="s">
        <v>530</v>
      </c>
      <c r="B16" s="123" t="s">
        <v>465</v>
      </c>
      <c r="C16" s="113" t="s">
        <v>490</v>
      </c>
      <c r="D16" s="112" t="s">
        <v>442</v>
      </c>
      <c r="E16" s="112" t="s">
        <v>50</v>
      </c>
      <c r="F16" s="112" t="s">
        <v>443</v>
      </c>
      <c r="G16" s="112" t="s">
        <v>593</v>
      </c>
      <c r="H16" s="112" t="s">
        <v>51</v>
      </c>
      <c r="I16" s="113" t="s">
        <v>49</v>
      </c>
      <c r="J16" s="112" t="s">
        <v>44</v>
      </c>
      <c r="K16" s="112" t="s">
        <v>20</v>
      </c>
      <c r="L16" s="112" t="s">
        <v>48</v>
      </c>
      <c r="M16" s="112" t="s">
        <v>297</v>
      </c>
      <c r="N16" s="112" t="s">
        <v>100</v>
      </c>
      <c r="O16" s="125" t="s">
        <v>538</v>
      </c>
      <c r="P16" s="112" t="s">
        <v>14</v>
      </c>
      <c r="Q16" s="112" t="s">
        <v>49</v>
      </c>
      <c r="R16" s="113" t="s">
        <v>95</v>
      </c>
      <c r="S16" s="120" t="s">
        <v>263</v>
      </c>
      <c r="T16" s="112" t="s">
        <v>327</v>
      </c>
      <c r="U16" s="159" t="s">
        <v>278</v>
      </c>
      <c r="V16" s="112" t="s">
        <v>44</v>
      </c>
      <c r="W16" s="112" t="s">
        <v>50</v>
      </c>
      <c r="X16" s="112" t="s">
        <v>593</v>
      </c>
      <c r="Y16" s="112" t="s">
        <v>57</v>
      </c>
      <c r="Z16" s="159" t="s">
        <v>278</v>
      </c>
      <c r="AA16" s="159" t="s">
        <v>278</v>
      </c>
      <c r="AB16" s="159" t="s">
        <v>278</v>
      </c>
      <c r="AC16" s="14"/>
      <c r="AD16" s="27"/>
      <c r="AE16" s="27"/>
    </row>
    <row r="17" spans="1:32">
      <c r="A17" s="36" t="s">
        <v>532</v>
      </c>
      <c r="B17" s="123" t="s">
        <v>466</v>
      </c>
      <c r="C17" s="113" t="s">
        <v>491</v>
      </c>
      <c r="D17" s="112" t="s">
        <v>442</v>
      </c>
      <c r="E17" s="112" t="s">
        <v>50</v>
      </c>
      <c r="F17" s="112" t="s">
        <v>443</v>
      </c>
      <c r="G17" s="112" t="s">
        <v>593</v>
      </c>
      <c r="H17" s="112" t="s">
        <v>51</v>
      </c>
      <c r="I17" s="113" t="s">
        <v>49</v>
      </c>
      <c r="J17" s="112" t="s">
        <v>44</v>
      </c>
      <c r="K17" s="112" t="s">
        <v>20</v>
      </c>
      <c r="L17" s="112" t="s">
        <v>48</v>
      </c>
      <c r="M17" s="112" t="s">
        <v>297</v>
      </c>
      <c r="N17" s="112" t="s">
        <v>100</v>
      </c>
      <c r="O17" s="125" t="s">
        <v>538</v>
      </c>
      <c r="P17" s="112" t="s">
        <v>14</v>
      </c>
      <c r="Q17" s="112" t="s">
        <v>49</v>
      </c>
      <c r="R17" s="113" t="s">
        <v>95</v>
      </c>
      <c r="S17" s="120" t="s">
        <v>467</v>
      </c>
      <c r="T17" s="112" t="s">
        <v>327</v>
      </c>
      <c r="U17" s="159" t="s">
        <v>278</v>
      </c>
      <c r="V17" s="112" t="s">
        <v>44</v>
      </c>
      <c r="W17" s="112" t="s">
        <v>50</v>
      </c>
      <c r="X17" s="112" t="s">
        <v>593</v>
      </c>
      <c r="Y17" s="112" t="s">
        <v>479</v>
      </c>
      <c r="Z17" s="159" t="s">
        <v>278</v>
      </c>
      <c r="AA17" s="159" t="s">
        <v>278</v>
      </c>
      <c r="AB17" s="159" t="s">
        <v>278</v>
      </c>
      <c r="AC17" s="14"/>
      <c r="AD17" s="27"/>
      <c r="AE17" s="27"/>
    </row>
    <row r="18" spans="1:32">
      <c r="A18" s="36" t="s">
        <v>531</v>
      </c>
      <c r="B18" s="123" t="s">
        <v>484</v>
      </c>
      <c r="C18" s="115" t="s">
        <v>492</v>
      </c>
      <c r="D18" s="112" t="s">
        <v>486</v>
      </c>
      <c r="E18" s="112" t="s">
        <v>484</v>
      </c>
      <c r="F18" s="115" t="s">
        <v>605</v>
      </c>
      <c r="G18" s="112" t="s">
        <v>593</v>
      </c>
      <c r="H18" s="112" t="s">
        <v>51</v>
      </c>
      <c r="I18" s="115" t="s">
        <v>589</v>
      </c>
      <c r="J18" s="112" t="s">
        <v>44</v>
      </c>
      <c r="K18" s="112" t="s">
        <v>20</v>
      </c>
      <c r="L18" s="112" t="s">
        <v>48</v>
      </c>
      <c r="M18" s="112" t="s">
        <v>402</v>
      </c>
      <c r="N18" s="112" t="s">
        <v>402</v>
      </c>
      <c r="O18" s="125" t="s">
        <v>538</v>
      </c>
      <c r="P18" s="112" t="s">
        <v>402</v>
      </c>
      <c r="Q18" s="112" t="s">
        <v>49</v>
      </c>
      <c r="R18" s="113" t="s">
        <v>95</v>
      </c>
      <c r="S18" s="112" t="s">
        <v>180</v>
      </c>
      <c r="T18" s="159" t="s">
        <v>278</v>
      </c>
      <c r="U18" s="112" t="s">
        <v>327</v>
      </c>
      <c r="V18" s="112" t="s">
        <v>278</v>
      </c>
      <c r="W18" s="112" t="s">
        <v>484</v>
      </c>
      <c r="X18" s="112" t="s">
        <v>278</v>
      </c>
      <c r="Y18" s="112" t="s">
        <v>479</v>
      </c>
      <c r="Z18" s="116" t="s">
        <v>498</v>
      </c>
      <c r="AA18" s="116"/>
      <c r="AB18" s="115" t="s">
        <v>280</v>
      </c>
      <c r="AC18" s="75"/>
      <c r="AD18" s="27"/>
      <c r="AE18" s="27"/>
    </row>
    <row r="19" spans="1:32">
      <c r="A19" s="43"/>
      <c r="B19" s="43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27"/>
      <c r="AE19" s="27"/>
    </row>
    <row r="20" spans="1:32">
      <c r="A20" s="20"/>
      <c r="B20" s="20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27"/>
      <c r="AE20" s="27"/>
    </row>
    <row r="21" spans="1:32">
      <c r="A21" s="37"/>
      <c r="E21" s="58"/>
      <c r="F21" s="58"/>
      <c r="T21" s="158" t="s">
        <v>409</v>
      </c>
      <c r="U21" s="158" t="s">
        <v>374</v>
      </c>
      <c r="Z21" s="92" t="s">
        <v>407</v>
      </c>
      <c r="AA21" s="92" t="s">
        <v>407</v>
      </c>
      <c r="AB21" s="92" t="s">
        <v>408</v>
      </c>
    </row>
    <row r="23" spans="1:32" ht="16.5">
      <c r="A23" s="30" t="s">
        <v>54</v>
      </c>
      <c r="B23" s="31" t="s">
        <v>189</v>
      </c>
      <c r="X23" s="27" t="s">
        <v>30</v>
      </c>
      <c r="AC23" s="27"/>
      <c r="AD23" s="27"/>
      <c r="AE23" s="27"/>
      <c r="AF23" s="27"/>
    </row>
    <row r="24" spans="1:32" ht="47.25">
      <c r="A24" s="20" t="s">
        <v>190</v>
      </c>
      <c r="B24" s="90" t="s">
        <v>231</v>
      </c>
      <c r="C24" s="20" t="s">
        <v>182</v>
      </c>
      <c r="D24" s="20" t="s">
        <v>28</v>
      </c>
      <c r="E24" s="20" t="s">
        <v>147</v>
      </c>
      <c r="F24" s="20" t="s">
        <v>22</v>
      </c>
      <c r="G24" s="20" t="s">
        <v>21</v>
      </c>
      <c r="H24" s="20" t="s">
        <v>23</v>
      </c>
      <c r="I24" s="20" t="s">
        <v>235</v>
      </c>
      <c r="J24" s="20" t="s">
        <v>27</v>
      </c>
      <c r="K24" s="20" t="s">
        <v>135</v>
      </c>
      <c r="L24" s="20" t="s">
        <v>136</v>
      </c>
      <c r="M24" s="20" t="s">
        <v>26</v>
      </c>
      <c r="N24" s="20" t="s">
        <v>139</v>
      </c>
      <c r="O24" s="20" t="s">
        <v>24</v>
      </c>
      <c r="P24" s="20" t="s">
        <v>140</v>
      </c>
      <c r="Q24" s="20" t="s">
        <v>137</v>
      </c>
      <c r="R24" s="20" t="s">
        <v>138</v>
      </c>
      <c r="S24" s="43" t="s">
        <v>261</v>
      </c>
      <c r="T24" s="20" t="s">
        <v>99</v>
      </c>
      <c r="U24" s="20" t="s">
        <v>99</v>
      </c>
      <c r="V24" s="78" t="s">
        <v>223</v>
      </c>
      <c r="W24" s="60" t="s">
        <v>142</v>
      </c>
      <c r="X24" s="60" t="s">
        <v>225</v>
      </c>
      <c r="Y24" s="40" t="s">
        <v>437</v>
      </c>
      <c r="Z24" s="155" t="s">
        <v>171</v>
      </c>
      <c r="AA24" s="155" t="s">
        <v>172</v>
      </c>
      <c r="AB24" s="182" t="s">
        <v>529</v>
      </c>
      <c r="AC24" s="20" t="s">
        <v>31</v>
      </c>
      <c r="AD24" s="27"/>
      <c r="AE24" s="27"/>
    </row>
    <row r="25" spans="1:32">
      <c r="A25" s="20" t="s">
        <v>32</v>
      </c>
      <c r="B25" s="20">
        <v>1</v>
      </c>
      <c r="C25" s="20">
        <v>1</v>
      </c>
      <c r="D25" s="20">
        <v>5</v>
      </c>
      <c r="E25" s="20">
        <v>3</v>
      </c>
      <c r="F25" s="20">
        <v>4</v>
      </c>
      <c r="G25" s="20">
        <v>1</v>
      </c>
      <c r="H25" s="20">
        <v>1</v>
      </c>
      <c r="I25" s="20">
        <v>1</v>
      </c>
      <c r="J25" s="20">
        <v>3</v>
      </c>
      <c r="K25" s="20">
        <v>1</v>
      </c>
      <c r="L25" s="20">
        <v>1</v>
      </c>
      <c r="M25" s="20">
        <v>1</v>
      </c>
      <c r="N25" s="20">
        <v>1</v>
      </c>
      <c r="O25" s="20">
        <v>1</v>
      </c>
      <c r="P25" s="20">
        <v>1</v>
      </c>
      <c r="Q25" s="20">
        <v>1</v>
      </c>
      <c r="R25" s="20">
        <v>1</v>
      </c>
      <c r="S25" s="43">
        <v>1</v>
      </c>
      <c r="T25" s="20">
        <v>2</v>
      </c>
      <c r="U25" s="20">
        <v>1</v>
      </c>
      <c r="V25" s="40">
        <v>1</v>
      </c>
      <c r="W25" s="40">
        <v>1</v>
      </c>
      <c r="X25" s="40">
        <v>1</v>
      </c>
      <c r="Y25" s="40">
        <v>1</v>
      </c>
      <c r="Z25" s="40">
        <v>3</v>
      </c>
      <c r="AA25" s="40">
        <v>2</v>
      </c>
      <c r="AB25" s="40">
        <v>1</v>
      </c>
      <c r="AC25" s="20">
        <f>SUM(B25:Y25)</f>
        <v>36</v>
      </c>
      <c r="AD25" s="27"/>
      <c r="AE25" s="27"/>
    </row>
    <row r="26" spans="1:32">
      <c r="A26" s="121" t="s">
        <v>534</v>
      </c>
      <c r="B26" s="123" t="s">
        <v>533</v>
      </c>
      <c r="C26" s="162" t="s">
        <v>486</v>
      </c>
      <c r="D26" s="115" t="s">
        <v>472</v>
      </c>
      <c r="E26" s="112" t="s">
        <v>56</v>
      </c>
      <c r="F26" s="112" t="s">
        <v>288</v>
      </c>
      <c r="G26" s="112" t="s">
        <v>593</v>
      </c>
      <c r="H26" s="112" t="s">
        <v>51</v>
      </c>
      <c r="I26" s="115" t="s">
        <v>589</v>
      </c>
      <c r="J26" s="113" t="s">
        <v>474</v>
      </c>
      <c r="K26" s="112" t="s">
        <v>20</v>
      </c>
      <c r="L26" s="112" t="s">
        <v>48</v>
      </c>
      <c r="M26" s="112" t="s">
        <v>297</v>
      </c>
      <c r="N26" s="112" t="s">
        <v>14</v>
      </c>
      <c r="O26" s="112" t="s">
        <v>49</v>
      </c>
      <c r="P26" s="113" t="s">
        <v>95</v>
      </c>
      <c r="Q26" s="112" t="s">
        <v>100</v>
      </c>
      <c r="R26" s="125" t="s">
        <v>538</v>
      </c>
      <c r="S26" s="112" t="s">
        <v>382</v>
      </c>
      <c r="T26" s="112" t="s">
        <v>180</v>
      </c>
      <c r="U26" s="159" t="s">
        <v>402</v>
      </c>
      <c r="V26" s="113" t="s">
        <v>474</v>
      </c>
      <c r="W26" s="112" t="s">
        <v>56</v>
      </c>
      <c r="X26" s="112" t="s">
        <v>593</v>
      </c>
      <c r="Y26" s="112" t="s">
        <v>20</v>
      </c>
      <c r="Z26" s="159" t="s">
        <v>402</v>
      </c>
      <c r="AA26" s="159" t="s">
        <v>402</v>
      </c>
      <c r="AB26" s="159" t="s">
        <v>402</v>
      </c>
      <c r="AC26" s="14"/>
      <c r="AD26" s="27"/>
      <c r="AE26" s="27"/>
    </row>
    <row r="27" spans="1:32">
      <c r="A27" s="121" t="s">
        <v>535</v>
      </c>
      <c r="B27" s="123" t="s">
        <v>474</v>
      </c>
      <c r="C27" s="167" t="s">
        <v>380</v>
      </c>
      <c r="D27" s="115" t="s">
        <v>472</v>
      </c>
      <c r="E27" s="112" t="s">
        <v>56</v>
      </c>
      <c r="F27" s="112" t="s">
        <v>288</v>
      </c>
      <c r="G27" s="112" t="s">
        <v>593</v>
      </c>
      <c r="H27" s="112" t="s">
        <v>51</v>
      </c>
      <c r="I27" s="115" t="s">
        <v>589</v>
      </c>
      <c r="J27" s="113" t="s">
        <v>474</v>
      </c>
      <c r="K27" s="112" t="s">
        <v>20</v>
      </c>
      <c r="L27" s="112" t="s">
        <v>48</v>
      </c>
      <c r="M27" s="112" t="s">
        <v>297</v>
      </c>
      <c r="N27" s="112" t="s">
        <v>14</v>
      </c>
      <c r="O27" s="112" t="s">
        <v>49</v>
      </c>
      <c r="P27" s="113" t="s">
        <v>95</v>
      </c>
      <c r="Q27" s="112" t="s">
        <v>100</v>
      </c>
      <c r="R27" s="125" t="s">
        <v>538</v>
      </c>
      <c r="S27" s="112" t="s">
        <v>382</v>
      </c>
      <c r="T27" s="112" t="s">
        <v>180</v>
      </c>
      <c r="U27" s="159" t="s">
        <v>402</v>
      </c>
      <c r="V27" s="113" t="s">
        <v>474</v>
      </c>
      <c r="W27" s="112" t="s">
        <v>56</v>
      </c>
      <c r="X27" s="112" t="s">
        <v>593</v>
      </c>
      <c r="Y27" s="112" t="s">
        <v>473</v>
      </c>
      <c r="Z27" s="159" t="s">
        <v>402</v>
      </c>
      <c r="AA27" s="159" t="s">
        <v>402</v>
      </c>
      <c r="AB27" s="159" t="s">
        <v>402</v>
      </c>
      <c r="AC27" s="14"/>
      <c r="AD27" s="27"/>
      <c r="AE27" s="27"/>
    </row>
    <row r="28" spans="1:32">
      <c r="A28" s="20" t="s">
        <v>537</v>
      </c>
      <c r="B28" s="123" t="s">
        <v>536</v>
      </c>
      <c r="C28" s="167" t="s">
        <v>394</v>
      </c>
      <c r="D28" s="112" t="s">
        <v>486</v>
      </c>
      <c r="E28" s="112" t="s">
        <v>484</v>
      </c>
      <c r="F28" s="112" t="s">
        <v>288</v>
      </c>
      <c r="G28" s="112" t="s">
        <v>593</v>
      </c>
      <c r="H28" s="112" t="s">
        <v>51</v>
      </c>
      <c r="I28" s="115" t="s">
        <v>589</v>
      </c>
      <c r="J28" s="112" t="s">
        <v>226</v>
      </c>
      <c r="K28" s="112" t="s">
        <v>402</v>
      </c>
      <c r="L28" s="112" t="s">
        <v>48</v>
      </c>
      <c r="M28" s="112" t="s">
        <v>297</v>
      </c>
      <c r="N28" s="112" t="s">
        <v>14</v>
      </c>
      <c r="O28" s="112" t="s">
        <v>402</v>
      </c>
      <c r="P28" s="113" t="s">
        <v>95</v>
      </c>
      <c r="Q28" s="113" t="s">
        <v>100</v>
      </c>
      <c r="R28" s="112" t="s">
        <v>402</v>
      </c>
      <c r="S28" s="112" t="s">
        <v>382</v>
      </c>
      <c r="T28" s="74"/>
      <c r="U28" s="112" t="s">
        <v>327</v>
      </c>
      <c r="V28" s="112" t="s">
        <v>226</v>
      </c>
      <c r="W28" s="112" t="s">
        <v>484</v>
      </c>
      <c r="X28" s="75"/>
      <c r="Y28" s="75"/>
      <c r="Z28" s="116" t="s">
        <v>498</v>
      </c>
      <c r="AA28" s="115" t="s">
        <v>280</v>
      </c>
      <c r="AB28" s="116" t="s">
        <v>375</v>
      </c>
      <c r="AC28" s="75"/>
      <c r="AD28" s="27"/>
      <c r="AE28" s="27"/>
    </row>
    <row r="29" spans="1:32">
      <c r="A29" s="36"/>
      <c r="B29" s="36"/>
      <c r="C29" s="70"/>
      <c r="D29" s="68"/>
      <c r="E29" s="75"/>
      <c r="F29" s="74"/>
      <c r="G29" s="74"/>
      <c r="H29" s="75"/>
      <c r="I29" s="82"/>
      <c r="J29" s="70"/>
      <c r="K29" s="75"/>
      <c r="L29" s="83"/>
      <c r="M29" s="75"/>
      <c r="N29" s="74"/>
      <c r="O29" s="83"/>
      <c r="P29" s="74"/>
      <c r="Q29" s="83"/>
      <c r="R29" s="83"/>
      <c r="S29" s="75"/>
      <c r="T29" s="75"/>
      <c r="U29" s="75"/>
      <c r="V29" s="75"/>
      <c r="W29" s="75"/>
      <c r="X29" s="68"/>
      <c r="Y29" s="68"/>
      <c r="Z29" s="68"/>
      <c r="AA29" s="68"/>
      <c r="AB29" s="68"/>
      <c r="AC29" s="68"/>
      <c r="AD29" s="27"/>
      <c r="AE29" s="27"/>
    </row>
    <row r="30" spans="1:32">
      <c r="E30" s="107"/>
      <c r="F30" s="58"/>
      <c r="H30" s="37"/>
      <c r="J30" s="107"/>
      <c r="K30" s="37"/>
      <c r="L30" s="37"/>
      <c r="M30" s="37"/>
      <c r="V30" s="58" t="s">
        <v>201</v>
      </c>
      <c r="W30" s="58" t="s">
        <v>201</v>
      </c>
      <c r="X30" s="67" t="s">
        <v>201</v>
      </c>
      <c r="Y30" s="67"/>
      <c r="Z30" s="67"/>
      <c r="AA30" s="67"/>
      <c r="AB30" s="67"/>
      <c r="AC30" s="27"/>
      <c r="AD30" s="27"/>
      <c r="AE30" s="27"/>
    </row>
    <row r="33" spans="1:28">
      <c r="A33" s="45" t="s">
        <v>96</v>
      </c>
    </row>
    <row r="34" spans="1:28">
      <c r="A34" s="14" t="s">
        <v>84</v>
      </c>
      <c r="B34" s="14" t="s">
        <v>28</v>
      </c>
      <c r="C34" s="14" t="s">
        <v>132</v>
      </c>
      <c r="D34" s="14" t="s">
        <v>22</v>
      </c>
      <c r="E34" s="14" t="s">
        <v>85</v>
      </c>
      <c r="F34" s="14" t="s">
        <v>30</v>
      </c>
      <c r="G34" s="45"/>
      <c r="H34" s="45"/>
      <c r="I34" s="14" t="s">
        <v>84</v>
      </c>
      <c r="J34" s="14" t="s">
        <v>28</v>
      </c>
      <c r="K34" s="14" t="s">
        <v>132</v>
      </c>
      <c r="L34" s="14" t="s">
        <v>22</v>
      </c>
      <c r="M34" s="14" t="s">
        <v>85</v>
      </c>
      <c r="N34" s="14" t="s">
        <v>194</v>
      </c>
      <c r="O34" s="45"/>
      <c r="P34" s="45"/>
      <c r="Q34" s="14" t="s">
        <v>84</v>
      </c>
      <c r="R34" s="14" t="s">
        <v>28</v>
      </c>
      <c r="S34" s="14" t="s">
        <v>132</v>
      </c>
      <c r="T34" s="14" t="s">
        <v>22</v>
      </c>
      <c r="U34" s="14" t="s">
        <v>85</v>
      </c>
      <c r="V34" s="14" t="s">
        <v>105</v>
      </c>
      <c r="W34" s="45"/>
      <c r="AB34" s="28"/>
    </row>
    <row r="35" spans="1:28">
      <c r="A35" s="14">
        <v>101</v>
      </c>
      <c r="B35" s="14" t="s">
        <v>348</v>
      </c>
      <c r="C35" s="112" t="s">
        <v>45</v>
      </c>
      <c r="D35" s="112" t="s">
        <v>603</v>
      </c>
      <c r="E35" s="181"/>
      <c r="F35" s="181"/>
      <c r="G35" s="45" t="s">
        <v>373</v>
      </c>
      <c r="H35" s="45"/>
      <c r="I35" s="14">
        <v>201</v>
      </c>
      <c r="J35" s="112" t="s">
        <v>471</v>
      </c>
      <c r="K35" s="112" t="s">
        <v>50</v>
      </c>
      <c r="L35" s="112" t="s">
        <v>443</v>
      </c>
      <c r="M35" s="14"/>
      <c r="N35" s="115"/>
      <c r="O35" s="45" t="s">
        <v>373</v>
      </c>
      <c r="P35" s="45"/>
      <c r="Q35" s="16">
        <v>301</v>
      </c>
      <c r="R35" s="112" t="s">
        <v>471</v>
      </c>
      <c r="S35" s="112" t="s">
        <v>56</v>
      </c>
      <c r="T35" s="112" t="s">
        <v>288</v>
      </c>
      <c r="U35" s="116"/>
      <c r="V35" s="112"/>
      <c r="W35" s="45" t="s">
        <v>373</v>
      </c>
      <c r="AB35" s="28"/>
    </row>
    <row r="36" spans="1:28">
      <c r="A36" s="16">
        <v>102</v>
      </c>
      <c r="B36" s="14" t="s">
        <v>348</v>
      </c>
      <c r="C36" s="112" t="s">
        <v>45</v>
      </c>
      <c r="D36" s="112" t="s">
        <v>603</v>
      </c>
      <c r="E36" s="112" t="s">
        <v>226</v>
      </c>
      <c r="F36" s="113" t="s">
        <v>49</v>
      </c>
      <c r="G36" s="45" t="s">
        <v>195</v>
      </c>
      <c r="H36" s="45"/>
      <c r="I36" s="16">
        <v>202</v>
      </c>
      <c r="J36" s="112" t="s">
        <v>471</v>
      </c>
      <c r="K36" s="112" t="s">
        <v>50</v>
      </c>
      <c r="L36" s="112" t="s">
        <v>443</v>
      </c>
      <c r="M36" s="112" t="s">
        <v>495</v>
      </c>
      <c r="N36" s="112" t="s">
        <v>593</v>
      </c>
      <c r="O36" s="45" t="s">
        <v>195</v>
      </c>
      <c r="P36" s="45"/>
      <c r="Q36" s="16">
        <v>302</v>
      </c>
      <c r="R36" s="112" t="s">
        <v>471</v>
      </c>
      <c r="S36" s="112" t="s">
        <v>56</v>
      </c>
      <c r="T36" s="112" t="s">
        <v>288</v>
      </c>
      <c r="U36" s="14" t="s">
        <v>474</v>
      </c>
      <c r="V36" s="112" t="s">
        <v>51</v>
      </c>
      <c r="W36" s="45" t="s">
        <v>195</v>
      </c>
      <c r="AB36" s="28"/>
    </row>
    <row r="37" spans="1:28">
      <c r="A37" s="14">
        <v>103</v>
      </c>
      <c r="B37" s="112" t="s">
        <v>602</v>
      </c>
      <c r="C37" s="112"/>
      <c r="D37" s="112" t="s">
        <v>603</v>
      </c>
      <c r="E37" s="75"/>
      <c r="F37" s="75"/>
      <c r="G37" s="45"/>
      <c r="H37" s="45"/>
      <c r="I37" s="14">
        <v>203</v>
      </c>
      <c r="J37" s="14" t="s">
        <v>485</v>
      </c>
      <c r="K37" s="75" t="s">
        <v>483</v>
      </c>
      <c r="L37" s="14"/>
      <c r="M37" s="14"/>
      <c r="N37" s="14"/>
      <c r="O37" s="45"/>
      <c r="P37" s="45"/>
      <c r="Q37" s="16">
        <v>303</v>
      </c>
      <c r="R37" s="14" t="s">
        <v>485</v>
      </c>
      <c r="S37" s="112" t="s">
        <v>484</v>
      </c>
      <c r="T37" s="112"/>
      <c r="U37" s="14"/>
      <c r="V37" s="14"/>
      <c r="W37" s="45"/>
      <c r="AB37" s="28"/>
    </row>
    <row r="38" spans="1:28">
      <c r="A38" s="45"/>
      <c r="B38" s="45"/>
      <c r="C38" s="45"/>
      <c r="D38" s="55"/>
      <c r="E38" s="55"/>
      <c r="F38" s="45"/>
      <c r="G38" s="45"/>
      <c r="H38" s="45"/>
      <c r="I38" s="16"/>
      <c r="J38" s="14"/>
      <c r="K38" s="14"/>
      <c r="L38" s="14"/>
      <c r="M38" s="14"/>
      <c r="N38" s="14"/>
      <c r="O38" s="45"/>
      <c r="P38" s="45"/>
      <c r="Q38" s="16"/>
      <c r="R38" s="14"/>
      <c r="S38" s="14"/>
      <c r="T38" s="14"/>
      <c r="U38" s="14"/>
      <c r="V38" s="14"/>
      <c r="AB38" s="28"/>
    </row>
    <row r="39" spans="1:28">
      <c r="A39" s="45"/>
      <c r="B39" s="45"/>
      <c r="C39" s="45"/>
      <c r="D39" s="55"/>
      <c r="E39" s="45"/>
      <c r="F39" s="45"/>
      <c r="G39" s="45"/>
      <c r="H39" s="45"/>
      <c r="I39" s="45"/>
      <c r="J39" s="55"/>
      <c r="K39" s="55"/>
      <c r="L39" s="55"/>
      <c r="M39" s="55"/>
      <c r="N39" s="55"/>
      <c r="O39" s="45"/>
      <c r="P39" s="45"/>
      <c r="Q39" s="55"/>
      <c r="R39" s="55"/>
      <c r="S39" s="55"/>
      <c r="T39" s="55"/>
      <c r="U39" s="55"/>
      <c r="V39" s="55"/>
      <c r="W39" s="45"/>
      <c r="AB39" s="28"/>
    </row>
    <row r="40" spans="1:28">
      <c r="A40" s="45"/>
      <c r="B40" s="45"/>
      <c r="C40" s="55"/>
      <c r="D40" s="55"/>
      <c r="E40" s="45"/>
      <c r="F40" s="55"/>
      <c r="G40" s="45"/>
      <c r="H40" s="45"/>
      <c r="I40" s="55"/>
      <c r="J40" s="45"/>
      <c r="K40" s="55"/>
      <c r="L40" s="45"/>
      <c r="M40" s="55"/>
      <c r="N40" s="55"/>
      <c r="O40" s="45"/>
      <c r="P40" s="45"/>
      <c r="Q40" s="55"/>
      <c r="R40" s="45"/>
      <c r="S40" s="55"/>
      <c r="T40" s="45"/>
      <c r="U40" s="45"/>
      <c r="V40" s="45"/>
      <c r="W40" s="45"/>
      <c r="AB40" s="28"/>
    </row>
    <row r="41" spans="1:28">
      <c r="A41" s="37"/>
      <c r="B41" s="37"/>
      <c r="C41" s="37"/>
      <c r="D41" s="37"/>
      <c r="I41" s="37"/>
      <c r="K41" s="37"/>
      <c r="M41" s="37"/>
      <c r="N41" s="37"/>
      <c r="Q41" s="37"/>
      <c r="R41" s="37"/>
      <c r="S41" s="37"/>
      <c r="T41" s="45"/>
      <c r="U41" s="55"/>
      <c r="V41" s="37"/>
      <c r="AB41" s="28"/>
    </row>
    <row r="42" spans="1:28">
      <c r="B42" s="37"/>
      <c r="C42" s="37"/>
      <c r="D42" s="37"/>
      <c r="K42" s="37"/>
      <c r="L42" s="37"/>
      <c r="M42" s="55"/>
      <c r="N42" s="37"/>
      <c r="Q42" s="37"/>
      <c r="S42" s="37"/>
      <c r="T42" s="45"/>
      <c r="V42" s="37"/>
    </row>
    <row r="43" spans="1:28">
      <c r="B43" s="37"/>
      <c r="C43" s="37"/>
      <c r="D43" s="45"/>
      <c r="E43" s="55"/>
      <c r="F43" s="37"/>
      <c r="K43" s="37"/>
      <c r="M43" s="55"/>
      <c r="N43" s="37"/>
      <c r="Q43" s="37"/>
      <c r="R43" s="56"/>
      <c r="S43" s="37"/>
      <c r="U43" s="37"/>
      <c r="V43" s="37"/>
      <c r="W43" s="55"/>
    </row>
    <row r="44" spans="1:28">
      <c r="C44" s="37"/>
      <c r="D44" s="45"/>
      <c r="F44" s="37"/>
      <c r="J44" s="56"/>
      <c r="K44" s="37"/>
      <c r="N44" s="55"/>
      <c r="Q44" s="37"/>
      <c r="R44" s="37"/>
      <c r="S44" s="37"/>
      <c r="U44" s="37"/>
      <c r="X44" s="55"/>
    </row>
    <row r="45" spans="1:28">
      <c r="C45" s="37"/>
      <c r="F45" s="37"/>
      <c r="J45" s="56"/>
      <c r="K45" s="37"/>
      <c r="L45" s="37"/>
      <c r="N45" s="55"/>
    </row>
    <row r="46" spans="1:28">
      <c r="B46" s="37"/>
      <c r="C46" s="37"/>
      <c r="D46" s="37"/>
      <c r="E46" s="39"/>
      <c r="F46" s="37"/>
      <c r="I46" s="37"/>
      <c r="J46" s="37"/>
      <c r="K46" s="37"/>
      <c r="L46" s="37"/>
      <c r="N46" s="55"/>
    </row>
    <row r="47" spans="1:28">
      <c r="N47" s="55"/>
    </row>
    <row r="49" spans="1:25">
      <c r="Q49" s="39"/>
      <c r="R49" s="37"/>
    </row>
    <row r="50" spans="1:25">
      <c r="C50" s="37"/>
      <c r="D50" s="37"/>
      <c r="F50" s="37"/>
      <c r="G50" s="37"/>
      <c r="H50" s="37"/>
      <c r="I50" s="57"/>
      <c r="J50" s="39"/>
      <c r="K50" s="37"/>
      <c r="L50" s="39"/>
      <c r="M50" s="39"/>
      <c r="N50" s="37"/>
      <c r="O50" s="37"/>
      <c r="P50" s="37"/>
      <c r="Q50" s="39"/>
      <c r="R50" s="37"/>
      <c r="W50" s="37"/>
      <c r="Y50" s="37"/>
    </row>
    <row r="51" spans="1:25">
      <c r="A51" s="37"/>
      <c r="B51" s="37"/>
      <c r="E51" s="37"/>
      <c r="F51" s="37"/>
      <c r="G51" s="37"/>
      <c r="H51" s="37"/>
      <c r="I51" s="38"/>
      <c r="J51" s="39"/>
      <c r="K51" s="37"/>
      <c r="L51" s="39"/>
      <c r="M51" s="39"/>
      <c r="N51" s="37"/>
      <c r="O51" s="37"/>
      <c r="P51" s="37"/>
      <c r="R51" s="37"/>
      <c r="X51" s="37"/>
      <c r="Y51" s="37"/>
    </row>
    <row r="52" spans="1:25">
      <c r="D52" s="37"/>
      <c r="F52" s="37"/>
      <c r="G52" s="37"/>
      <c r="H52" s="37"/>
      <c r="I52" s="57"/>
      <c r="K52" s="37"/>
      <c r="L52" s="39"/>
      <c r="M52" s="39"/>
      <c r="N52" s="37"/>
      <c r="O52" s="37"/>
      <c r="P52" s="37"/>
      <c r="R52" s="37"/>
      <c r="Y52" s="37"/>
    </row>
    <row r="53" spans="1:25">
      <c r="C53" s="37"/>
      <c r="D53" s="37"/>
      <c r="E53" s="37"/>
      <c r="F53" s="37"/>
      <c r="G53" s="37"/>
      <c r="I53" s="38"/>
      <c r="K53" s="37"/>
      <c r="L53" s="39"/>
      <c r="M53" s="39"/>
      <c r="N53" s="37"/>
      <c r="O53" s="37"/>
      <c r="P53" s="37"/>
      <c r="Q53" s="39"/>
      <c r="R53" s="37"/>
      <c r="Y53" s="37"/>
    </row>
    <row r="54" spans="1:25">
      <c r="E54" s="37"/>
      <c r="F54" s="37"/>
      <c r="G54" s="37"/>
      <c r="I54" s="38"/>
      <c r="J54" s="39"/>
      <c r="K54" s="37"/>
      <c r="L54" s="39"/>
      <c r="M54" s="39"/>
      <c r="N54" s="37"/>
      <c r="O54" s="37"/>
      <c r="P54" s="37"/>
      <c r="R54" s="37"/>
    </row>
    <row r="55" spans="1:25">
      <c r="D55" s="37"/>
      <c r="E55" s="37"/>
      <c r="F55" s="37"/>
      <c r="G55" s="37"/>
      <c r="H55" s="37"/>
      <c r="I55" s="38"/>
      <c r="K55" s="37"/>
      <c r="L55" s="39"/>
      <c r="M55" s="39"/>
      <c r="N55" s="37"/>
      <c r="P55" s="37"/>
      <c r="Q55" s="39"/>
      <c r="R55" s="37"/>
      <c r="Y55" s="37"/>
    </row>
    <row r="56" spans="1:25">
      <c r="A56" s="37"/>
      <c r="B56" s="37"/>
      <c r="D56" s="37"/>
      <c r="E56" s="37"/>
      <c r="F56" s="37"/>
      <c r="G56" s="37"/>
      <c r="H56" s="37"/>
      <c r="I56" s="38"/>
      <c r="J56" s="39"/>
      <c r="K56" s="37"/>
      <c r="L56" s="39"/>
      <c r="M56" s="39"/>
      <c r="N56" s="37"/>
      <c r="O56" s="37"/>
      <c r="P56" s="37"/>
      <c r="Y56" s="37"/>
    </row>
    <row r="59" spans="1:25">
      <c r="Q59" s="37"/>
      <c r="R59" s="37"/>
      <c r="S59" s="37"/>
      <c r="U59" s="37"/>
    </row>
    <row r="60" spans="1:25">
      <c r="A60" s="37"/>
      <c r="B60" s="37"/>
      <c r="D60" s="37"/>
      <c r="E60" s="37"/>
      <c r="F60" s="37"/>
      <c r="G60" s="37"/>
      <c r="I60" s="37"/>
      <c r="J60" s="37"/>
      <c r="K60" s="37"/>
      <c r="L60" s="39"/>
      <c r="M60" s="37"/>
      <c r="N60" s="37"/>
      <c r="P60" s="37"/>
      <c r="Q60" s="37"/>
      <c r="R60" s="37"/>
      <c r="S60" s="37"/>
      <c r="U60" s="37"/>
      <c r="Y60" s="37"/>
    </row>
    <row r="61" spans="1:25">
      <c r="A61" s="37"/>
      <c r="B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P61" s="37"/>
      <c r="Q61" s="37"/>
      <c r="R61" s="37"/>
      <c r="U61" s="37"/>
      <c r="Y61" s="37"/>
    </row>
    <row r="62" spans="1:25">
      <c r="A62" s="37"/>
      <c r="B62" s="37"/>
      <c r="D62" s="37"/>
      <c r="E62" s="37"/>
      <c r="F62" s="37"/>
      <c r="G62" s="37"/>
      <c r="I62" s="38"/>
      <c r="J62" s="37"/>
      <c r="K62" s="37"/>
      <c r="L62" s="39"/>
      <c r="M62" s="37"/>
      <c r="N62" s="37"/>
      <c r="P62" s="37"/>
      <c r="Q62" s="37"/>
      <c r="R62" s="37"/>
      <c r="S62" s="37"/>
    </row>
    <row r="63" spans="1:25">
      <c r="A63" s="37"/>
      <c r="B63" s="37"/>
      <c r="D63" s="37"/>
      <c r="E63" s="28"/>
      <c r="F63" s="37"/>
      <c r="G63" s="37"/>
      <c r="H63" s="37"/>
      <c r="I63" s="37"/>
      <c r="J63" s="37"/>
      <c r="K63" s="37"/>
      <c r="L63" s="37"/>
      <c r="M63" s="37"/>
      <c r="N63" s="37"/>
      <c r="P63" s="37"/>
      <c r="Q63" s="37"/>
      <c r="R63" s="37"/>
      <c r="Y63" s="37"/>
    </row>
    <row r="64" spans="1:25">
      <c r="A64" s="37"/>
      <c r="B64" s="37"/>
      <c r="D64" s="37"/>
      <c r="E64" s="37"/>
      <c r="F64" s="37"/>
      <c r="G64" s="37"/>
      <c r="I64" s="37"/>
      <c r="J64" s="37"/>
      <c r="K64" s="37"/>
      <c r="L64" s="39"/>
      <c r="M64" s="37"/>
      <c r="N64" s="37"/>
      <c r="P64" s="37"/>
      <c r="Q64" s="37"/>
      <c r="R64" s="37"/>
      <c r="W64" s="37"/>
      <c r="Y64" s="38"/>
    </row>
    <row r="65" spans="1:25">
      <c r="A65" s="37"/>
      <c r="B65" s="37"/>
      <c r="D65" s="37"/>
      <c r="E65" s="37"/>
      <c r="F65" s="37"/>
      <c r="G65" s="37"/>
      <c r="I65" s="37"/>
      <c r="J65" s="37"/>
      <c r="K65" s="37"/>
      <c r="L65" s="37"/>
      <c r="M65" s="37"/>
      <c r="N65" s="37"/>
      <c r="X65" s="37"/>
      <c r="Y65" s="37"/>
    </row>
    <row r="69" spans="1:25">
      <c r="Q69" s="37"/>
      <c r="R69" s="37"/>
    </row>
    <row r="70" spans="1:25">
      <c r="A70" s="37"/>
      <c r="B70" s="37"/>
      <c r="C70" s="37"/>
      <c r="D70" s="37"/>
      <c r="E70" s="37"/>
      <c r="F70" s="37"/>
      <c r="G70" s="37"/>
      <c r="H70" s="38"/>
      <c r="I70" s="39"/>
      <c r="K70" s="37"/>
      <c r="O70" s="37"/>
      <c r="P70" s="39"/>
      <c r="Q70" s="37"/>
      <c r="R70" s="37"/>
    </row>
    <row r="71" spans="1:25">
      <c r="A71" s="37"/>
      <c r="B71" s="37"/>
      <c r="C71" s="37"/>
      <c r="D71" s="37"/>
      <c r="F71" s="37"/>
      <c r="G71" s="37"/>
      <c r="H71" s="37"/>
      <c r="I71" s="39"/>
      <c r="K71" s="37"/>
      <c r="M71" s="37"/>
      <c r="O71" s="37"/>
      <c r="Q71" s="37"/>
      <c r="R71" s="37"/>
      <c r="S71" s="37"/>
      <c r="T71" s="37"/>
      <c r="U71" s="37"/>
      <c r="V71" s="37"/>
    </row>
    <row r="72" spans="1:25">
      <c r="A72" s="37"/>
      <c r="B72" s="37"/>
      <c r="C72" s="39"/>
      <c r="D72" s="37"/>
      <c r="E72" s="37"/>
      <c r="F72" s="37"/>
      <c r="G72" s="38"/>
      <c r="H72" s="37"/>
      <c r="I72" s="37"/>
      <c r="J72" s="37"/>
      <c r="K72" s="37"/>
      <c r="L72" s="37"/>
      <c r="M72" s="37"/>
      <c r="N72" s="37"/>
      <c r="O72" s="37"/>
      <c r="P72" s="39"/>
      <c r="Q72" s="37"/>
      <c r="R72" s="37"/>
    </row>
    <row r="73" spans="1:25">
      <c r="A73" s="37"/>
      <c r="B73" s="37"/>
      <c r="C73" s="37"/>
      <c r="D73" s="37"/>
      <c r="E73" s="37"/>
      <c r="G73" s="37"/>
      <c r="H73" s="38"/>
      <c r="I73" s="39"/>
      <c r="J73" s="39"/>
      <c r="K73" s="37"/>
      <c r="L73" s="37"/>
      <c r="M73" s="37"/>
      <c r="O73" s="37"/>
      <c r="P73" s="39"/>
      <c r="Q73" s="37"/>
      <c r="R73" s="37"/>
      <c r="S73" s="37"/>
      <c r="T73" s="37"/>
      <c r="U73" s="38"/>
      <c r="V73" s="37"/>
    </row>
    <row r="74" spans="1:25">
      <c r="A74" s="37"/>
      <c r="B74" s="37"/>
      <c r="C74" s="39"/>
      <c r="D74" s="37"/>
      <c r="E74" s="37"/>
      <c r="F74" s="37"/>
      <c r="G74" s="38"/>
      <c r="H74" s="38"/>
      <c r="I74" s="37"/>
      <c r="J74" s="37"/>
      <c r="K74" s="37"/>
      <c r="L74" s="37"/>
      <c r="M74" s="37"/>
      <c r="N74" s="37"/>
      <c r="P74" s="39"/>
      <c r="Q74" s="37"/>
      <c r="R74" s="37"/>
    </row>
    <row r="75" spans="1:25">
      <c r="A75" s="37"/>
      <c r="B75" s="37"/>
      <c r="C75" s="37"/>
      <c r="D75" s="37"/>
      <c r="E75" s="37"/>
      <c r="F75" s="37"/>
      <c r="G75" s="37"/>
      <c r="H75" s="38"/>
      <c r="I75" s="37"/>
      <c r="J75" s="37"/>
      <c r="K75" s="37"/>
      <c r="L75" s="37"/>
      <c r="M75" s="37"/>
      <c r="N75" s="37"/>
    </row>
    <row r="76" spans="1:25">
      <c r="H76" s="37"/>
      <c r="J76" s="37"/>
      <c r="L76" s="37"/>
      <c r="M76" s="37"/>
      <c r="N76" s="37"/>
      <c r="O76" s="37"/>
      <c r="P76" s="37"/>
    </row>
    <row r="79" spans="1:25">
      <c r="R79" s="37"/>
      <c r="S79" s="37"/>
      <c r="T79" s="37"/>
      <c r="U79" s="37"/>
      <c r="V79" s="39"/>
      <c r="W79" s="37"/>
    </row>
    <row r="80" spans="1:25">
      <c r="C80" s="37"/>
      <c r="D80" s="37"/>
      <c r="E80" s="39"/>
      <c r="F80" s="37"/>
      <c r="J80" s="37"/>
      <c r="K80" s="37"/>
      <c r="M80" s="37"/>
      <c r="N80" s="39"/>
      <c r="R80" s="37"/>
      <c r="T80" s="37"/>
      <c r="U80" s="37"/>
      <c r="V80" s="39"/>
      <c r="X80" s="37"/>
    </row>
    <row r="81" spans="2:22">
      <c r="B81" s="37"/>
      <c r="C81" s="37"/>
      <c r="D81" s="37"/>
      <c r="E81" s="39"/>
      <c r="F81" s="37"/>
      <c r="J81" s="37"/>
      <c r="K81" s="37"/>
      <c r="L81" s="37"/>
      <c r="M81" s="37"/>
      <c r="N81" s="37"/>
      <c r="R81" s="37"/>
      <c r="S81" s="37"/>
      <c r="T81" s="37"/>
      <c r="U81" s="38"/>
      <c r="V81" s="37"/>
    </row>
    <row r="82" spans="2:22">
      <c r="C82" s="37"/>
      <c r="D82" s="37"/>
      <c r="F82" s="37"/>
      <c r="J82" s="37"/>
      <c r="K82" s="37"/>
      <c r="M82" s="37"/>
      <c r="N82" s="39"/>
      <c r="R82" s="37"/>
      <c r="S82" s="37"/>
      <c r="U82" s="39"/>
      <c r="V82" s="37"/>
    </row>
    <row r="83" spans="2:22">
      <c r="B83" s="37"/>
      <c r="C83" s="37"/>
      <c r="F83" s="37"/>
      <c r="J83" s="28"/>
      <c r="K83" s="37"/>
      <c r="L83" s="37"/>
      <c r="M83" s="37"/>
      <c r="R83" s="37"/>
      <c r="S83" s="37"/>
      <c r="T83" s="37"/>
      <c r="U83" s="38"/>
      <c r="V83" s="37"/>
    </row>
    <row r="84" spans="2:22">
      <c r="B84" s="37"/>
      <c r="C84" s="37"/>
      <c r="E84" s="39"/>
      <c r="F84" s="37"/>
      <c r="J84" s="37"/>
      <c r="K84" s="37"/>
      <c r="M84" s="37"/>
      <c r="N84" s="39"/>
      <c r="R84" s="37"/>
      <c r="S84" s="37"/>
      <c r="T84" s="37"/>
      <c r="V84" s="37"/>
    </row>
    <row r="85" spans="2:22">
      <c r="B85" s="37"/>
      <c r="C85" s="37"/>
      <c r="D85" s="37"/>
      <c r="F85" s="37"/>
      <c r="J85" s="37"/>
      <c r="K85" s="37"/>
      <c r="M85" s="37"/>
      <c r="N85" s="37"/>
    </row>
    <row r="86" spans="2:22">
      <c r="B86" s="37"/>
      <c r="C86" s="37"/>
      <c r="D86" s="37"/>
      <c r="E86" s="39"/>
      <c r="F86" s="3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8" scale="71" fitToHeight="0" orientation="landscape" r:id="rId1"/>
  <headerFooter>
    <oddHeader>&amp;R&amp;T    &amp;D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Fill="0" autoLine="0" autoPict="0" r:id="rId5">
            <anchor moveWithCells="1">
              <from>
                <xdr:col>4</xdr:col>
                <xdr:colOff>581025</xdr:colOff>
                <xdr:row>0</xdr:row>
                <xdr:rowOff>76200</xdr:rowOff>
              </from>
              <to>
                <xdr:col>7</xdr:col>
                <xdr:colOff>47625</xdr:colOff>
                <xdr:row>1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43"/>
    <pageSetUpPr fitToPage="1"/>
  </sheetPr>
  <dimension ref="A1:AL76"/>
  <sheetViews>
    <sheetView showGridLines="0" tabSelected="1" zoomScale="130" zoomScaleNormal="130" workbookViewId="0">
      <pane xSplit="1" ySplit="2" topLeftCell="B38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5.75"/>
  <cols>
    <col min="1" max="1" width="16.875" style="27" customWidth="1"/>
    <col min="2" max="14" width="8.625" style="27" customWidth="1"/>
    <col min="15" max="19" width="9.75" style="27" bestFit="1" customWidth="1"/>
    <col min="20" max="20" width="11.875" style="27" bestFit="1" customWidth="1"/>
    <col min="21" max="21" width="8" style="27" bestFit="1" customWidth="1"/>
    <col min="22" max="22" width="11.875" style="27" bestFit="1" customWidth="1"/>
    <col min="23" max="23" width="9" style="27" bestFit="1" customWidth="1"/>
    <col min="24" max="24" width="9.25" style="27" bestFit="1" customWidth="1"/>
    <col min="25" max="25" width="9" style="27" bestFit="1" customWidth="1"/>
    <col min="26" max="26" width="9.75" style="27" bestFit="1" customWidth="1"/>
    <col min="27" max="27" width="16.375" style="27" bestFit="1" customWidth="1"/>
    <col min="28" max="29" width="9.75" style="28" bestFit="1" customWidth="1"/>
    <col min="30" max="30" width="11.875" style="28" bestFit="1" customWidth="1"/>
    <col min="31" max="31" width="7.75" style="28" bestFit="1" customWidth="1"/>
    <col min="32" max="33" width="9.75" style="28" bestFit="1" customWidth="1"/>
    <col min="34" max="34" width="8" style="28" bestFit="1" customWidth="1"/>
    <col min="35" max="43" width="8.625" style="28" customWidth="1"/>
    <col min="44" max="16384" width="9" style="28"/>
  </cols>
  <sheetData>
    <row r="1" spans="1:34" ht="20.25">
      <c r="A1" s="21" t="s">
        <v>539</v>
      </c>
    </row>
    <row r="2" spans="1:34">
      <c r="A2" s="29"/>
    </row>
    <row r="3" spans="1:34" ht="16.5">
      <c r="A3" s="30" t="s">
        <v>65</v>
      </c>
      <c r="B3" s="31" t="s">
        <v>183</v>
      </c>
      <c r="R3" s="106"/>
      <c r="T3" s="106"/>
      <c r="X3" s="106" t="s">
        <v>278</v>
      </c>
      <c r="Y3" s="106" t="s">
        <v>278</v>
      </c>
      <c r="AA3" s="106"/>
    </row>
    <row r="4" spans="1:34" ht="50.1" customHeight="1">
      <c r="A4" s="20" t="s">
        <v>184</v>
      </c>
      <c r="B4" s="41" t="s">
        <v>70</v>
      </c>
      <c r="C4" s="43" t="s">
        <v>71</v>
      </c>
      <c r="D4" s="33" t="s">
        <v>28</v>
      </c>
      <c r="E4" s="33" t="s">
        <v>34</v>
      </c>
      <c r="F4" s="124" t="s">
        <v>354</v>
      </c>
      <c r="G4" s="124" t="s">
        <v>355</v>
      </c>
      <c r="H4" s="124" t="s">
        <v>356</v>
      </c>
      <c r="I4" s="33" t="s">
        <v>414</v>
      </c>
      <c r="J4" s="33" t="s">
        <v>35</v>
      </c>
      <c r="K4" s="33" t="s">
        <v>37</v>
      </c>
      <c r="L4" s="33" t="s">
        <v>38</v>
      </c>
      <c r="M4" s="33" t="s">
        <v>159</v>
      </c>
      <c r="N4" s="33" t="s">
        <v>160</v>
      </c>
      <c r="O4" s="33" t="s">
        <v>363</v>
      </c>
      <c r="P4" s="33" t="s">
        <v>364</v>
      </c>
      <c r="Q4" s="33" t="s">
        <v>161</v>
      </c>
      <c r="R4" s="33" t="s">
        <v>162</v>
      </c>
      <c r="S4" s="127" t="s">
        <v>227</v>
      </c>
      <c r="T4" s="127" t="s">
        <v>227</v>
      </c>
      <c r="U4" s="128" t="s">
        <v>509</v>
      </c>
      <c r="V4" s="129" t="s">
        <v>269</v>
      </c>
      <c r="W4" s="128" t="s">
        <v>411</v>
      </c>
      <c r="X4" s="128" t="s">
        <v>413</v>
      </c>
      <c r="Y4" s="133" t="s">
        <v>358</v>
      </c>
      <c r="Z4" s="133" t="s">
        <v>359</v>
      </c>
      <c r="AA4" s="133" t="s">
        <v>360</v>
      </c>
      <c r="AB4" s="133" t="s">
        <v>163</v>
      </c>
      <c r="AC4" s="136" t="s">
        <v>164</v>
      </c>
      <c r="AD4" s="117" t="s">
        <v>361</v>
      </c>
      <c r="AE4" s="136" t="s">
        <v>165</v>
      </c>
      <c r="AF4" s="65" t="s">
        <v>166</v>
      </c>
      <c r="AG4" s="66" t="s">
        <v>167</v>
      </c>
      <c r="AH4" s="18" t="s">
        <v>31</v>
      </c>
    </row>
    <row r="5" spans="1:34">
      <c r="A5" s="20" t="s">
        <v>66</v>
      </c>
      <c r="B5" s="20">
        <v>1</v>
      </c>
      <c r="C5" s="20">
        <v>1</v>
      </c>
      <c r="D5" s="20">
        <v>4</v>
      </c>
      <c r="E5" s="20">
        <v>4</v>
      </c>
      <c r="F5" s="121">
        <v>1</v>
      </c>
      <c r="G5" s="121">
        <v>1</v>
      </c>
      <c r="H5" s="121">
        <v>0</v>
      </c>
      <c r="I5" s="20">
        <v>1</v>
      </c>
      <c r="J5" s="20">
        <v>4</v>
      </c>
      <c r="K5" s="20">
        <v>2</v>
      </c>
      <c r="L5" s="20">
        <v>2</v>
      </c>
      <c r="M5" s="20">
        <v>2</v>
      </c>
      <c r="N5" s="20">
        <v>2</v>
      </c>
      <c r="O5" s="20">
        <v>2</v>
      </c>
      <c r="P5" s="20">
        <v>2</v>
      </c>
      <c r="Q5" s="20">
        <v>2</v>
      </c>
      <c r="R5" s="20">
        <v>2</v>
      </c>
      <c r="S5" s="130">
        <v>1</v>
      </c>
      <c r="T5" s="131">
        <v>1</v>
      </c>
      <c r="U5" s="129">
        <v>1</v>
      </c>
      <c r="V5" s="129">
        <v>1</v>
      </c>
      <c r="W5" s="129">
        <v>1</v>
      </c>
      <c r="X5" s="129">
        <v>0</v>
      </c>
      <c r="Y5" s="132">
        <v>0</v>
      </c>
      <c r="Z5" s="134">
        <v>1</v>
      </c>
      <c r="AA5" s="134">
        <v>0</v>
      </c>
      <c r="AB5" s="134">
        <v>1</v>
      </c>
      <c r="AC5" s="117">
        <v>1</v>
      </c>
      <c r="AD5" s="117">
        <v>1</v>
      </c>
      <c r="AE5" s="117">
        <v>1</v>
      </c>
      <c r="AF5" s="65" t="s">
        <v>199</v>
      </c>
      <c r="AG5" s="66" t="s">
        <v>199</v>
      </c>
      <c r="AH5" s="18">
        <f>SUM(B5:AG5)</f>
        <v>43</v>
      </c>
    </row>
    <row r="6" spans="1:34">
      <c r="A6" s="121" t="s">
        <v>564</v>
      </c>
      <c r="B6" s="113" t="s">
        <v>230</v>
      </c>
      <c r="C6" s="112" t="s">
        <v>487</v>
      </c>
      <c r="D6" s="115" t="s">
        <v>157</v>
      </c>
      <c r="E6" s="116" t="s">
        <v>267</v>
      </c>
      <c r="F6" s="112" t="s">
        <v>57</v>
      </c>
      <c r="G6" s="116" t="s">
        <v>357</v>
      </c>
      <c r="H6" s="116"/>
      <c r="I6" s="116" t="s">
        <v>95</v>
      </c>
      <c r="J6" s="113" t="s">
        <v>230</v>
      </c>
      <c r="K6" s="116" t="s">
        <v>154</v>
      </c>
      <c r="L6" s="116" t="s">
        <v>156</v>
      </c>
      <c r="M6" s="116" t="s">
        <v>175</v>
      </c>
      <c r="N6" s="116" t="s">
        <v>168</v>
      </c>
      <c r="O6" s="112" t="s">
        <v>58</v>
      </c>
      <c r="P6" s="126"/>
      <c r="Q6" s="116" t="s">
        <v>175</v>
      </c>
      <c r="R6" s="115" t="s">
        <v>557</v>
      </c>
      <c r="S6" s="112" t="s">
        <v>58</v>
      </c>
      <c r="T6" s="112" t="s">
        <v>154</v>
      </c>
      <c r="U6" s="116" t="s">
        <v>267</v>
      </c>
      <c r="V6" s="126"/>
      <c r="W6" s="116" t="s">
        <v>174</v>
      </c>
      <c r="X6" s="126"/>
      <c r="Y6" s="115" t="s">
        <v>157</v>
      </c>
      <c r="Z6" s="135"/>
      <c r="AA6" s="116"/>
      <c r="AB6" s="135"/>
      <c r="AC6" s="115" t="s">
        <v>157</v>
      </c>
      <c r="AD6" s="126"/>
      <c r="AE6" s="113" t="s">
        <v>230</v>
      </c>
      <c r="AF6" s="18"/>
      <c r="AG6" s="68"/>
      <c r="AH6" s="18"/>
    </row>
    <row r="7" spans="1:34">
      <c r="A7" s="122" t="s">
        <v>562</v>
      </c>
      <c r="B7" s="116" t="s">
        <v>267</v>
      </c>
      <c r="C7" s="113" t="s">
        <v>109</v>
      </c>
      <c r="D7" s="115" t="s">
        <v>157</v>
      </c>
      <c r="E7" s="116" t="s">
        <v>267</v>
      </c>
      <c r="F7" s="112" t="s">
        <v>57</v>
      </c>
      <c r="G7" s="116" t="s">
        <v>357</v>
      </c>
      <c r="H7" s="116"/>
      <c r="I7" s="116" t="s">
        <v>95</v>
      </c>
      <c r="J7" s="113" t="s">
        <v>230</v>
      </c>
      <c r="K7" s="116" t="s">
        <v>154</v>
      </c>
      <c r="L7" s="116" t="s">
        <v>156</v>
      </c>
      <c r="M7" s="116" t="s">
        <v>175</v>
      </c>
      <c r="N7" s="116" t="s">
        <v>168</v>
      </c>
      <c r="O7" s="126"/>
      <c r="P7" s="113" t="s">
        <v>100</v>
      </c>
      <c r="Q7" s="116" t="s">
        <v>175</v>
      </c>
      <c r="R7" s="115" t="s">
        <v>557</v>
      </c>
      <c r="S7" s="112" t="s">
        <v>58</v>
      </c>
      <c r="T7" s="112" t="s">
        <v>303</v>
      </c>
      <c r="U7" s="126"/>
      <c r="V7" s="113" t="s">
        <v>230</v>
      </c>
      <c r="W7" s="126"/>
      <c r="X7" s="116" t="s">
        <v>156</v>
      </c>
      <c r="Y7" s="126"/>
      <c r="Z7" s="113" t="s">
        <v>287</v>
      </c>
      <c r="AA7" s="126" t="s">
        <v>80</v>
      </c>
      <c r="AB7" s="112" t="s">
        <v>560</v>
      </c>
      <c r="AC7" s="126"/>
      <c r="AD7" s="116" t="s">
        <v>267</v>
      </c>
      <c r="AE7" s="126"/>
      <c r="AF7" s="68"/>
      <c r="AG7" s="18"/>
      <c r="AH7" s="18"/>
    </row>
    <row r="8" spans="1:34">
      <c r="A8" s="37"/>
      <c r="B8" s="37"/>
      <c r="D8" s="37"/>
      <c r="E8" s="37"/>
      <c r="F8" s="37"/>
      <c r="G8" s="37"/>
      <c r="H8" s="37"/>
      <c r="I8" s="37"/>
      <c r="J8" s="61" t="s">
        <v>192</v>
      </c>
      <c r="K8" s="61" t="s">
        <v>192</v>
      </c>
      <c r="L8" s="37"/>
      <c r="M8" s="37"/>
      <c r="N8" s="62"/>
      <c r="O8" s="39"/>
      <c r="P8" s="61"/>
      <c r="Q8" s="62"/>
      <c r="R8" s="62"/>
      <c r="S8" s="62"/>
      <c r="T8" s="62"/>
      <c r="U8" s="69" t="s">
        <v>191</v>
      </c>
      <c r="V8" s="69" t="s">
        <v>191</v>
      </c>
      <c r="W8" s="69" t="s">
        <v>191</v>
      </c>
      <c r="X8" s="69" t="s">
        <v>191</v>
      </c>
      <c r="Y8" s="69" t="s">
        <v>191</v>
      </c>
      <c r="Z8" s="69" t="s">
        <v>191</v>
      </c>
      <c r="AA8" s="69" t="s">
        <v>441</v>
      </c>
      <c r="AB8" s="69" t="s">
        <v>191</v>
      </c>
      <c r="AC8" s="104" t="s">
        <v>262</v>
      </c>
      <c r="AD8" s="104" t="s">
        <v>262</v>
      </c>
      <c r="AE8" s="104" t="s">
        <v>262</v>
      </c>
      <c r="AF8" s="104" t="s">
        <v>262</v>
      </c>
      <c r="AG8" s="104" t="s">
        <v>262</v>
      </c>
    </row>
    <row r="9" spans="1:34">
      <c r="A9" s="29"/>
      <c r="U9" s="28"/>
      <c r="V9" s="28"/>
      <c r="AB9" s="27"/>
    </row>
    <row r="10" spans="1:34" ht="16.5">
      <c r="A10" s="30" t="s">
        <v>67</v>
      </c>
      <c r="B10" s="31" t="s">
        <v>183</v>
      </c>
      <c r="AA10" s="28"/>
    </row>
    <row r="11" spans="1:34" ht="63">
      <c r="A11" s="20" t="s">
        <v>185</v>
      </c>
      <c r="B11" s="43" t="s">
        <v>70</v>
      </c>
      <c r="C11" s="43" t="s">
        <v>71</v>
      </c>
      <c r="D11" s="33" t="s">
        <v>33</v>
      </c>
      <c r="E11" s="33" t="s">
        <v>34</v>
      </c>
      <c r="F11" s="124" t="s">
        <v>354</v>
      </c>
      <c r="G11" s="124" t="s">
        <v>524</v>
      </c>
      <c r="H11" s="124" t="s">
        <v>610</v>
      </c>
      <c r="I11" s="33" t="s">
        <v>35</v>
      </c>
      <c r="J11" s="33" t="s">
        <v>37</v>
      </c>
      <c r="K11" s="33" t="s">
        <v>597</v>
      </c>
      <c r="L11" s="33" t="s">
        <v>169</v>
      </c>
      <c r="M11" s="20" t="s">
        <v>170</v>
      </c>
      <c r="N11" s="33" t="s">
        <v>162</v>
      </c>
      <c r="O11" s="32" t="s">
        <v>104</v>
      </c>
      <c r="P11" s="32" t="s">
        <v>171</v>
      </c>
      <c r="Q11" s="32" t="s">
        <v>172</v>
      </c>
      <c r="R11" s="103" t="s">
        <v>173</v>
      </c>
      <c r="S11" s="18" t="s">
        <v>31</v>
      </c>
      <c r="T11" s="28"/>
      <c r="U11" s="171"/>
      <c r="V11" s="28"/>
      <c r="W11" s="28"/>
      <c r="X11" s="28"/>
      <c r="Y11" s="28"/>
      <c r="Z11" s="28"/>
      <c r="AA11" s="28"/>
    </row>
    <row r="12" spans="1:34">
      <c r="A12" s="20" t="s">
        <v>66</v>
      </c>
      <c r="B12" s="20">
        <v>1</v>
      </c>
      <c r="C12" s="20">
        <v>1</v>
      </c>
      <c r="D12" s="20">
        <v>4</v>
      </c>
      <c r="E12" s="20">
        <v>4</v>
      </c>
      <c r="F12" s="121">
        <v>1</v>
      </c>
      <c r="G12" s="121">
        <v>1</v>
      </c>
      <c r="H12" s="184">
        <v>1</v>
      </c>
      <c r="I12" s="20">
        <v>4</v>
      </c>
      <c r="J12" s="20">
        <v>2</v>
      </c>
      <c r="K12" s="20">
        <v>2</v>
      </c>
      <c r="L12" s="20">
        <v>2</v>
      </c>
      <c r="M12" s="20">
        <v>2</v>
      </c>
      <c r="N12" s="20">
        <v>1</v>
      </c>
      <c r="O12" s="43">
        <v>1</v>
      </c>
      <c r="P12" s="20">
        <v>4</v>
      </c>
      <c r="Q12" s="20">
        <v>4</v>
      </c>
      <c r="R12" s="35">
        <v>2</v>
      </c>
      <c r="S12" s="18">
        <f>SUM(B12:R12)</f>
        <v>37</v>
      </c>
      <c r="T12" s="28"/>
      <c r="U12" s="28"/>
      <c r="V12" s="28"/>
      <c r="W12" s="28"/>
      <c r="X12" s="28"/>
      <c r="Y12" s="28"/>
      <c r="Z12" s="28"/>
      <c r="AA12" s="28"/>
    </row>
    <row r="13" spans="1:34">
      <c r="A13" s="121" t="s">
        <v>590</v>
      </c>
      <c r="B13" s="115" t="s">
        <v>130</v>
      </c>
      <c r="C13" s="116" t="s">
        <v>379</v>
      </c>
      <c r="D13" s="115" t="s">
        <v>157</v>
      </c>
      <c r="E13" s="116" t="s">
        <v>267</v>
      </c>
      <c r="F13" s="120" t="s">
        <v>479</v>
      </c>
      <c r="G13" s="120" t="s">
        <v>525</v>
      </c>
      <c r="H13" s="113" t="s">
        <v>100</v>
      </c>
      <c r="I13" s="113" t="s">
        <v>230</v>
      </c>
      <c r="J13" s="116" t="s">
        <v>154</v>
      </c>
      <c r="K13" s="115" t="s">
        <v>130</v>
      </c>
      <c r="L13" s="112" t="s">
        <v>560</v>
      </c>
      <c r="M13" s="112" t="s">
        <v>58</v>
      </c>
      <c r="N13" s="115" t="s">
        <v>557</v>
      </c>
      <c r="O13" s="116" t="s">
        <v>180</v>
      </c>
      <c r="P13" s="116" t="s">
        <v>375</v>
      </c>
      <c r="Q13" s="113" t="s">
        <v>612</v>
      </c>
      <c r="R13" s="115" t="s">
        <v>280</v>
      </c>
      <c r="S13" s="18"/>
      <c r="T13" s="28"/>
      <c r="U13" s="28"/>
      <c r="V13" s="28"/>
      <c r="W13" s="28"/>
      <c r="X13" s="28"/>
      <c r="Y13" s="28"/>
      <c r="Z13" s="28"/>
      <c r="AA13" s="28"/>
    </row>
    <row r="14" spans="1:34">
      <c r="A14" s="37"/>
      <c r="B14" s="37"/>
      <c r="D14" s="37"/>
      <c r="E14" s="37"/>
      <c r="F14" s="37"/>
      <c r="G14" s="37"/>
      <c r="H14" s="37"/>
      <c r="J14" s="37"/>
      <c r="K14" s="39"/>
      <c r="L14" s="37"/>
      <c r="M14" s="39"/>
      <c r="N14" s="39"/>
      <c r="O14" s="39"/>
      <c r="P14" s="61" t="s">
        <v>202</v>
      </c>
      <c r="Q14" s="61" t="s">
        <v>203</v>
      </c>
      <c r="V14" s="37"/>
      <c r="AA14" s="28"/>
    </row>
    <row r="15" spans="1:34">
      <c r="A15" s="29"/>
      <c r="AB15" s="27"/>
    </row>
    <row r="16" spans="1:34" ht="16.5">
      <c r="A16" s="30" t="s">
        <v>75</v>
      </c>
      <c r="B16" s="31" t="s">
        <v>183</v>
      </c>
      <c r="R16" s="106"/>
      <c r="S16" s="106"/>
      <c r="U16" s="106"/>
      <c r="W16" s="106"/>
      <c r="AB16" s="27"/>
    </row>
    <row r="17" spans="1:33" ht="50.1" customHeight="1">
      <c r="A17" s="20" t="s">
        <v>185</v>
      </c>
      <c r="B17" s="20" t="s">
        <v>70</v>
      </c>
      <c r="C17" s="43" t="s">
        <v>71</v>
      </c>
      <c r="D17" s="33" t="s">
        <v>33</v>
      </c>
      <c r="E17" s="33" t="s">
        <v>259</v>
      </c>
      <c r="F17" s="33" t="s">
        <v>204</v>
      </c>
      <c r="G17" s="33" t="s">
        <v>38</v>
      </c>
      <c r="H17" s="33" t="s">
        <v>47</v>
      </c>
      <c r="I17" s="33" t="s">
        <v>213</v>
      </c>
      <c r="J17" s="89" t="s">
        <v>213</v>
      </c>
      <c r="K17" s="33" t="s">
        <v>365</v>
      </c>
      <c r="L17" s="43" t="s">
        <v>101</v>
      </c>
      <c r="M17" s="33" t="s">
        <v>176</v>
      </c>
      <c r="N17" s="33" t="s">
        <v>99</v>
      </c>
      <c r="O17" s="33" t="s">
        <v>260</v>
      </c>
      <c r="P17" s="71" t="s">
        <v>206</v>
      </c>
      <c r="Q17" s="71" t="s">
        <v>207</v>
      </c>
      <c r="R17" s="156" t="s">
        <v>366</v>
      </c>
      <c r="S17" s="42" t="s">
        <v>518</v>
      </c>
      <c r="T17" s="98" t="s">
        <v>208</v>
      </c>
      <c r="U17" s="42" t="s">
        <v>517</v>
      </c>
      <c r="V17" s="42" t="s">
        <v>393</v>
      </c>
      <c r="W17" s="34" t="s">
        <v>209</v>
      </c>
      <c r="X17" s="34" t="s">
        <v>381</v>
      </c>
      <c r="Y17" s="34" t="s">
        <v>210</v>
      </c>
      <c r="Z17" s="86" t="s">
        <v>221</v>
      </c>
      <c r="AA17" s="86" t="s">
        <v>221</v>
      </c>
      <c r="AB17" s="86" t="s">
        <v>221</v>
      </c>
      <c r="AC17" s="66" t="s">
        <v>167</v>
      </c>
      <c r="AD17" s="18" t="s">
        <v>31</v>
      </c>
    </row>
    <row r="18" spans="1:33" ht="16.5">
      <c r="A18" s="20" t="s">
        <v>66</v>
      </c>
      <c r="B18" s="20">
        <v>1</v>
      </c>
      <c r="C18" s="20">
        <v>1</v>
      </c>
      <c r="D18" s="20">
        <v>4</v>
      </c>
      <c r="E18" s="20">
        <v>4</v>
      </c>
      <c r="F18" s="20">
        <v>4</v>
      </c>
      <c r="G18" s="20">
        <v>2</v>
      </c>
      <c r="H18" s="20">
        <v>2</v>
      </c>
      <c r="I18" s="20">
        <v>2</v>
      </c>
      <c r="J18" s="84">
        <v>2</v>
      </c>
      <c r="K18" s="84">
        <v>1</v>
      </c>
      <c r="L18" s="43">
        <v>1</v>
      </c>
      <c r="M18" s="20">
        <v>1</v>
      </c>
      <c r="N18" s="20">
        <v>2</v>
      </c>
      <c r="O18" s="20">
        <v>1</v>
      </c>
      <c r="P18" s="72">
        <v>2</v>
      </c>
      <c r="Q18" s="72">
        <v>2</v>
      </c>
      <c r="R18" s="157">
        <v>1</v>
      </c>
      <c r="S18" s="73">
        <v>0</v>
      </c>
      <c r="T18" s="73">
        <v>1</v>
      </c>
      <c r="U18" s="73">
        <v>1</v>
      </c>
      <c r="V18" s="73">
        <v>1</v>
      </c>
      <c r="W18" s="24">
        <v>1</v>
      </c>
      <c r="X18" s="24">
        <v>0</v>
      </c>
      <c r="Y18" s="24">
        <v>1</v>
      </c>
      <c r="Z18" s="86">
        <v>0</v>
      </c>
      <c r="AA18" s="86" t="s">
        <v>234</v>
      </c>
      <c r="AB18" s="86">
        <v>0</v>
      </c>
      <c r="AC18" s="66" t="s">
        <v>197</v>
      </c>
      <c r="AD18" s="18">
        <f>SUM(B18:AC18)</f>
        <v>38</v>
      </c>
    </row>
    <row r="19" spans="1:33">
      <c r="A19" s="121" t="s">
        <v>553</v>
      </c>
      <c r="B19" s="113" t="s">
        <v>109</v>
      </c>
      <c r="C19" s="116" t="s">
        <v>608</v>
      </c>
      <c r="D19" s="116" t="s">
        <v>339</v>
      </c>
      <c r="E19" s="116" t="s">
        <v>153</v>
      </c>
      <c r="F19" s="113" t="s">
        <v>155</v>
      </c>
      <c r="G19" s="116" t="s">
        <v>156</v>
      </c>
      <c r="H19" s="115" t="s">
        <v>444</v>
      </c>
      <c r="I19" s="112" t="s">
        <v>303</v>
      </c>
      <c r="J19" s="112" t="s">
        <v>168</v>
      </c>
      <c r="K19" s="116" t="s">
        <v>20</v>
      </c>
      <c r="L19" s="116" t="s">
        <v>48</v>
      </c>
      <c r="M19" s="115" t="s">
        <v>174</v>
      </c>
      <c r="N19" s="112" t="s">
        <v>174</v>
      </c>
      <c r="O19" s="115" t="s">
        <v>362</v>
      </c>
      <c r="P19" s="112" t="s">
        <v>303</v>
      </c>
      <c r="Q19" s="116" t="s">
        <v>175</v>
      </c>
      <c r="R19" s="116" t="s">
        <v>168</v>
      </c>
      <c r="S19" s="126"/>
      <c r="T19" s="116" t="s">
        <v>168</v>
      </c>
      <c r="U19" s="126"/>
      <c r="V19" s="116" t="s">
        <v>339</v>
      </c>
      <c r="W19" s="116" t="s">
        <v>339</v>
      </c>
      <c r="X19" s="126"/>
      <c r="Y19" s="113" t="s">
        <v>155</v>
      </c>
      <c r="Z19" s="68"/>
      <c r="AA19" s="116" t="s">
        <v>168</v>
      </c>
      <c r="AB19" s="68"/>
      <c r="AC19" s="18"/>
      <c r="AD19" s="16"/>
    </row>
    <row r="20" spans="1:33">
      <c r="A20" s="37"/>
      <c r="B20" s="37"/>
      <c r="D20" s="37"/>
      <c r="E20" s="37"/>
      <c r="F20" s="61" t="s">
        <v>215</v>
      </c>
      <c r="G20" s="37"/>
      <c r="H20" s="38"/>
      <c r="I20" s="102" t="s">
        <v>205</v>
      </c>
      <c r="J20" s="102" t="s">
        <v>205</v>
      </c>
      <c r="K20" s="37"/>
      <c r="L20" s="92"/>
      <c r="M20" s="92"/>
      <c r="N20" s="37"/>
      <c r="O20" s="76"/>
      <c r="P20" s="76" t="s">
        <v>211</v>
      </c>
      <c r="Q20" s="59" t="s">
        <v>212</v>
      </c>
      <c r="R20" s="59" t="s">
        <v>396</v>
      </c>
      <c r="S20" s="104" t="s">
        <v>403</v>
      </c>
      <c r="T20" s="104" t="s">
        <v>403</v>
      </c>
      <c r="U20" s="104" t="s">
        <v>403</v>
      </c>
      <c r="V20" s="104" t="s">
        <v>403</v>
      </c>
      <c r="W20" s="104" t="s">
        <v>262</v>
      </c>
      <c r="X20" s="104" t="s">
        <v>262</v>
      </c>
      <c r="Y20" s="104" t="s">
        <v>398</v>
      </c>
      <c r="Z20" s="104" t="s">
        <v>262</v>
      </c>
      <c r="AA20" s="104" t="s">
        <v>262</v>
      </c>
      <c r="AB20" s="104" t="s">
        <v>262</v>
      </c>
      <c r="AC20" s="37"/>
      <c r="AD20" s="27"/>
      <c r="AE20" s="27"/>
      <c r="AF20" s="27"/>
      <c r="AG20" s="27"/>
    </row>
    <row r="21" spans="1:33">
      <c r="A21" s="29"/>
      <c r="AB21" s="27"/>
    </row>
    <row r="22" spans="1:33" ht="16.5">
      <c r="A22" s="30" t="s">
        <v>76</v>
      </c>
      <c r="B22" s="31" t="s">
        <v>183</v>
      </c>
      <c r="R22" s="106"/>
      <c r="S22" s="106"/>
      <c r="U22" s="106" t="s">
        <v>278</v>
      </c>
      <c r="W22" s="106"/>
      <c r="AB22" s="27"/>
    </row>
    <row r="23" spans="1:33" ht="50.1" customHeight="1">
      <c r="A23" s="20" t="s">
        <v>185</v>
      </c>
      <c r="B23" s="20" t="s">
        <v>70</v>
      </c>
      <c r="C23" s="20" t="s">
        <v>182</v>
      </c>
      <c r="D23" s="33" t="s">
        <v>33</v>
      </c>
      <c r="E23" s="33" t="s">
        <v>34</v>
      </c>
      <c r="F23" s="33" t="s">
        <v>214</v>
      </c>
      <c r="G23" s="33" t="s">
        <v>38</v>
      </c>
      <c r="H23" s="33" t="s">
        <v>47</v>
      </c>
      <c r="I23" s="33" t="s">
        <v>213</v>
      </c>
      <c r="J23" s="89" t="s">
        <v>213</v>
      </c>
      <c r="K23" s="33" t="s">
        <v>365</v>
      </c>
      <c r="L23" s="43" t="s">
        <v>101</v>
      </c>
      <c r="M23" s="33" t="s">
        <v>176</v>
      </c>
      <c r="N23" s="33" t="s">
        <v>99</v>
      </c>
      <c r="O23" s="33" t="s">
        <v>260</v>
      </c>
      <c r="P23" s="71" t="s">
        <v>217</v>
      </c>
      <c r="Q23" s="95" t="s">
        <v>218</v>
      </c>
      <c r="R23" s="180" t="s">
        <v>507</v>
      </c>
      <c r="S23" s="42" t="s">
        <v>518</v>
      </c>
      <c r="T23" s="98" t="s">
        <v>208</v>
      </c>
      <c r="U23" s="42" t="s">
        <v>517</v>
      </c>
      <c r="V23" s="42" t="s">
        <v>393</v>
      </c>
      <c r="W23" s="34" t="s">
        <v>209</v>
      </c>
      <c r="X23" s="34" t="s">
        <v>381</v>
      </c>
      <c r="Y23" s="34" t="s">
        <v>210</v>
      </c>
      <c r="Z23" s="86" t="s">
        <v>221</v>
      </c>
      <c r="AA23" s="86" t="s">
        <v>221</v>
      </c>
      <c r="AB23" s="86" t="s">
        <v>221</v>
      </c>
      <c r="AC23" s="66" t="s">
        <v>167</v>
      </c>
      <c r="AD23" s="18" t="s">
        <v>31</v>
      </c>
    </row>
    <row r="24" spans="1:33" ht="16.5">
      <c r="A24" s="20" t="s">
        <v>66</v>
      </c>
      <c r="B24" s="20">
        <v>1</v>
      </c>
      <c r="C24" s="20">
        <v>1</v>
      </c>
      <c r="D24" s="20">
        <v>4</v>
      </c>
      <c r="E24" s="20">
        <v>4</v>
      </c>
      <c r="F24" s="20">
        <v>4</v>
      </c>
      <c r="G24" s="20">
        <v>2</v>
      </c>
      <c r="H24" s="20">
        <v>2</v>
      </c>
      <c r="I24" s="20">
        <v>2</v>
      </c>
      <c r="J24" s="84">
        <v>2</v>
      </c>
      <c r="K24" s="84">
        <v>1</v>
      </c>
      <c r="L24" s="43">
        <v>1</v>
      </c>
      <c r="M24" s="20">
        <v>1</v>
      </c>
      <c r="N24" s="20">
        <v>2</v>
      </c>
      <c r="O24" s="20">
        <v>1</v>
      </c>
      <c r="P24" s="72">
        <v>2</v>
      </c>
      <c r="Q24" s="72">
        <v>2</v>
      </c>
      <c r="R24" s="157">
        <v>1</v>
      </c>
      <c r="S24" s="73">
        <v>1</v>
      </c>
      <c r="T24" s="73">
        <v>1</v>
      </c>
      <c r="U24" s="73">
        <v>0</v>
      </c>
      <c r="V24" s="73">
        <v>0</v>
      </c>
      <c r="W24" s="24">
        <v>0</v>
      </c>
      <c r="X24" s="24">
        <v>1</v>
      </c>
      <c r="Y24" s="24">
        <v>0</v>
      </c>
      <c r="Z24" s="86" t="s">
        <v>234</v>
      </c>
      <c r="AA24" s="86">
        <v>0</v>
      </c>
      <c r="AB24" s="86" t="s">
        <v>234</v>
      </c>
      <c r="AC24" s="66" t="s">
        <v>197</v>
      </c>
      <c r="AD24" s="18">
        <f>SUM(B24:AC24)</f>
        <v>36</v>
      </c>
    </row>
    <row r="25" spans="1:33">
      <c r="A25" s="122" t="s">
        <v>556</v>
      </c>
      <c r="B25" s="116" t="s">
        <v>554</v>
      </c>
      <c r="C25" s="113" t="s">
        <v>607</v>
      </c>
      <c r="D25" s="116" t="s">
        <v>339</v>
      </c>
      <c r="E25" s="116" t="s">
        <v>153</v>
      </c>
      <c r="F25" s="115" t="s">
        <v>500</v>
      </c>
      <c r="G25" s="116" t="s">
        <v>156</v>
      </c>
      <c r="H25" s="115" t="s">
        <v>444</v>
      </c>
      <c r="I25" s="112" t="s">
        <v>303</v>
      </c>
      <c r="J25" s="116" t="s">
        <v>168</v>
      </c>
      <c r="K25" s="116" t="s">
        <v>20</v>
      </c>
      <c r="L25" s="116" t="s">
        <v>48</v>
      </c>
      <c r="M25" s="115" t="s">
        <v>263</v>
      </c>
      <c r="N25" s="112" t="s">
        <v>174</v>
      </c>
      <c r="O25" s="115" t="s">
        <v>362</v>
      </c>
      <c r="P25" s="116" t="s">
        <v>154</v>
      </c>
      <c r="Q25" s="113" t="s">
        <v>438</v>
      </c>
      <c r="R25" s="116" t="s">
        <v>48</v>
      </c>
      <c r="S25" s="116" t="s">
        <v>153</v>
      </c>
      <c r="T25" s="68"/>
      <c r="U25" s="18" t="s">
        <v>154</v>
      </c>
      <c r="V25" s="68"/>
      <c r="W25" s="68"/>
      <c r="X25" s="116" t="s">
        <v>153</v>
      </c>
      <c r="Y25" s="75"/>
      <c r="Z25" s="113" t="s">
        <v>287</v>
      </c>
      <c r="AA25" s="68"/>
      <c r="AB25" s="18" t="s">
        <v>399</v>
      </c>
      <c r="AC25" s="68"/>
      <c r="AD25" s="18"/>
    </row>
    <row r="26" spans="1:33">
      <c r="A26" s="37"/>
      <c r="B26" s="37"/>
      <c r="D26" s="37"/>
      <c r="E26" s="37"/>
      <c r="F26" s="61" t="s">
        <v>216</v>
      </c>
      <c r="G26" s="37"/>
      <c r="H26" s="37"/>
      <c r="I26" s="102" t="s">
        <v>205</v>
      </c>
      <c r="J26" s="102" t="s">
        <v>205</v>
      </c>
      <c r="K26" s="37"/>
      <c r="L26" s="92"/>
      <c r="M26" s="92"/>
      <c r="N26" s="39"/>
      <c r="O26" s="59"/>
      <c r="P26" s="59" t="s">
        <v>219</v>
      </c>
      <c r="Q26" s="59" t="s">
        <v>220</v>
      </c>
      <c r="R26" s="59" t="s">
        <v>397</v>
      </c>
      <c r="S26" s="104" t="s">
        <v>403</v>
      </c>
      <c r="T26" s="104" t="s">
        <v>403</v>
      </c>
      <c r="U26" s="104" t="s">
        <v>403</v>
      </c>
      <c r="V26" s="104" t="s">
        <v>403</v>
      </c>
      <c r="W26" s="104" t="s">
        <v>262</v>
      </c>
      <c r="X26" s="104" t="s">
        <v>262</v>
      </c>
      <c r="Y26" s="104" t="s">
        <v>398</v>
      </c>
      <c r="Z26" s="104" t="s">
        <v>262</v>
      </c>
      <c r="AA26" s="104" t="s">
        <v>262</v>
      </c>
      <c r="AB26" s="104" t="s">
        <v>262</v>
      </c>
      <c r="AC26" s="27"/>
      <c r="AD26" s="27"/>
    </row>
    <row r="27" spans="1:33">
      <c r="A27" s="29"/>
      <c r="AB27" s="27"/>
    </row>
    <row r="28" spans="1:33" ht="16.5">
      <c r="A28" s="30" t="s">
        <v>69</v>
      </c>
      <c r="B28" s="31" t="s">
        <v>183</v>
      </c>
      <c r="Y28" s="28"/>
      <c r="Z28" s="28"/>
      <c r="AA28" s="28"/>
    </row>
    <row r="29" spans="1:33" ht="50.1" customHeight="1">
      <c r="A29" s="20" t="s">
        <v>185</v>
      </c>
      <c r="B29" s="20" t="s">
        <v>70</v>
      </c>
      <c r="C29" s="20" t="s">
        <v>71</v>
      </c>
      <c r="D29" s="33" t="s">
        <v>33</v>
      </c>
      <c r="E29" s="33" t="s">
        <v>34</v>
      </c>
      <c r="F29" s="33" t="s">
        <v>214</v>
      </c>
      <c r="G29" s="33" t="s">
        <v>37</v>
      </c>
      <c r="H29" s="33" t="s">
        <v>47</v>
      </c>
      <c r="I29" s="33" t="s">
        <v>213</v>
      </c>
      <c r="J29" s="33" t="s">
        <v>213</v>
      </c>
      <c r="K29" s="33" t="s">
        <v>99</v>
      </c>
      <c r="L29" s="33" t="s">
        <v>260</v>
      </c>
      <c r="M29" s="32" t="s">
        <v>104</v>
      </c>
      <c r="N29" s="32" t="s">
        <v>171</v>
      </c>
      <c r="O29" s="32" t="s">
        <v>172</v>
      </c>
      <c r="P29" s="138" t="s">
        <v>367</v>
      </c>
      <c r="Q29" s="88" t="s">
        <v>221</v>
      </c>
      <c r="R29" s="105" t="s">
        <v>440</v>
      </c>
      <c r="S29" s="18" t="s">
        <v>31</v>
      </c>
      <c r="T29" s="28"/>
      <c r="U29" s="28"/>
      <c r="V29" s="28"/>
      <c r="W29" s="28"/>
      <c r="X29" s="28"/>
      <c r="Y29" s="28"/>
      <c r="Z29" s="28"/>
      <c r="AA29" s="28"/>
    </row>
    <row r="30" spans="1:33">
      <c r="A30" s="20" t="s">
        <v>66</v>
      </c>
      <c r="B30" s="43">
        <v>1</v>
      </c>
      <c r="C30" s="43">
        <v>1</v>
      </c>
      <c r="D30" s="43">
        <v>4</v>
      </c>
      <c r="E30" s="43">
        <v>4</v>
      </c>
      <c r="F30" s="43">
        <v>4</v>
      </c>
      <c r="G30" s="43">
        <v>2</v>
      </c>
      <c r="H30" s="43">
        <v>2</v>
      </c>
      <c r="I30" s="43">
        <v>2</v>
      </c>
      <c r="J30" s="43">
        <v>2</v>
      </c>
      <c r="K30" s="20">
        <v>1</v>
      </c>
      <c r="L30" s="20">
        <v>1</v>
      </c>
      <c r="M30" s="43">
        <v>1</v>
      </c>
      <c r="N30" s="43">
        <v>4</v>
      </c>
      <c r="O30" s="43">
        <v>4</v>
      </c>
      <c r="P30" s="139">
        <v>1</v>
      </c>
      <c r="Q30" s="88" t="s">
        <v>234</v>
      </c>
      <c r="R30" s="77">
        <v>2</v>
      </c>
      <c r="S30" s="18">
        <f>SUM(B30:R30)</f>
        <v>36</v>
      </c>
      <c r="T30" s="28"/>
      <c r="U30" s="28"/>
      <c r="V30" s="28"/>
      <c r="W30" s="28"/>
      <c r="X30" s="28"/>
      <c r="Y30" s="28"/>
      <c r="Z30" s="28"/>
      <c r="AA30" s="28"/>
    </row>
    <row r="31" spans="1:33">
      <c r="A31" s="20" t="s">
        <v>559</v>
      </c>
      <c r="B31" s="115" t="s">
        <v>557</v>
      </c>
      <c r="C31" s="115" t="s">
        <v>467</v>
      </c>
      <c r="D31" s="116" t="s">
        <v>339</v>
      </c>
      <c r="E31" s="116" t="s">
        <v>554</v>
      </c>
      <c r="F31" s="113" t="s">
        <v>129</v>
      </c>
      <c r="G31" s="113" t="s">
        <v>594</v>
      </c>
      <c r="H31" s="113" t="s">
        <v>438</v>
      </c>
      <c r="I31" s="116" t="s">
        <v>175</v>
      </c>
      <c r="J31" s="116" t="s">
        <v>560</v>
      </c>
      <c r="K31" s="115" t="s">
        <v>263</v>
      </c>
      <c r="L31" s="115" t="s">
        <v>362</v>
      </c>
      <c r="M31" s="116" t="s">
        <v>180</v>
      </c>
      <c r="N31" s="113" t="s">
        <v>612</v>
      </c>
      <c r="O31" s="115" t="s">
        <v>280</v>
      </c>
      <c r="P31" s="115" t="s">
        <v>263</v>
      </c>
      <c r="Q31" s="116" t="s">
        <v>500</v>
      </c>
      <c r="R31" s="113" t="s">
        <v>612</v>
      </c>
      <c r="S31" s="18"/>
      <c r="T31" s="28"/>
      <c r="U31" s="28"/>
      <c r="V31" s="28"/>
      <c r="W31" s="28"/>
      <c r="X31" s="28"/>
      <c r="Y31" s="28"/>
      <c r="Z31" s="28"/>
      <c r="AA31" s="28"/>
    </row>
    <row r="32" spans="1:33">
      <c r="A32" s="37"/>
      <c r="B32" s="37"/>
      <c r="D32" s="37"/>
      <c r="E32" s="37"/>
      <c r="F32" s="37"/>
      <c r="G32" s="37"/>
      <c r="H32" s="37"/>
      <c r="I32" s="108" t="s">
        <v>205</v>
      </c>
      <c r="J32" s="108"/>
      <c r="K32" s="37"/>
      <c r="L32" s="37"/>
      <c r="M32" s="39"/>
      <c r="N32" s="39"/>
      <c r="O32" s="37"/>
      <c r="P32" s="61" t="s">
        <v>403</v>
      </c>
      <c r="Q32" s="104" t="s">
        <v>262</v>
      </c>
      <c r="R32" s="104" t="s">
        <v>262</v>
      </c>
    </row>
    <row r="33" spans="1:38">
      <c r="AB33" s="27"/>
    </row>
    <row r="34" spans="1:38" ht="16.5">
      <c r="A34" s="30" t="s">
        <v>77</v>
      </c>
      <c r="B34" s="31" t="s">
        <v>183</v>
      </c>
      <c r="U34" s="106"/>
      <c r="W34" s="106"/>
      <c r="X34" s="106"/>
      <c r="AB34" s="106"/>
      <c r="AF34" s="106"/>
    </row>
    <row r="35" spans="1:38" ht="50.1" customHeight="1">
      <c r="A35" s="20" t="s">
        <v>185</v>
      </c>
      <c r="B35" s="20" t="s">
        <v>70</v>
      </c>
      <c r="C35" s="43" t="s">
        <v>71</v>
      </c>
      <c r="D35" s="33" t="s">
        <v>33</v>
      </c>
      <c r="E35" s="33" t="s">
        <v>34</v>
      </c>
      <c r="F35" s="33" t="s">
        <v>236</v>
      </c>
      <c r="G35" s="33" t="s">
        <v>237</v>
      </c>
      <c r="H35" s="20" t="s">
        <v>178</v>
      </c>
      <c r="I35" s="20" t="s">
        <v>238</v>
      </c>
      <c r="J35" s="33" t="s">
        <v>99</v>
      </c>
      <c r="K35" s="71" t="s">
        <v>239</v>
      </c>
      <c r="L35" s="93" t="s">
        <v>79</v>
      </c>
      <c r="M35" s="71" t="s">
        <v>240</v>
      </c>
      <c r="N35" s="71" t="s">
        <v>241</v>
      </c>
      <c r="O35" s="71" t="s">
        <v>242</v>
      </c>
      <c r="P35" s="95" t="s">
        <v>243</v>
      </c>
      <c r="Q35" s="140" t="s">
        <v>368</v>
      </c>
      <c r="R35" s="140" t="s">
        <v>369</v>
      </c>
      <c r="S35" s="141" t="s">
        <v>289</v>
      </c>
      <c r="T35" s="142" t="s">
        <v>286</v>
      </c>
      <c r="U35" s="137" t="s">
        <v>401</v>
      </c>
      <c r="V35" s="172" t="s">
        <v>277</v>
      </c>
      <c r="W35" s="137" t="s">
        <v>448</v>
      </c>
      <c r="X35" s="137" t="s">
        <v>449</v>
      </c>
      <c r="Y35" s="144" t="s">
        <v>400</v>
      </c>
      <c r="Z35" s="145" t="s">
        <v>272</v>
      </c>
      <c r="AA35" s="146" t="s">
        <v>450</v>
      </c>
      <c r="AB35" s="144" t="s">
        <v>540</v>
      </c>
      <c r="AC35" s="96" t="s">
        <v>248</v>
      </c>
      <c r="AD35" s="97" t="s">
        <v>252</v>
      </c>
      <c r="AE35" s="34" t="s">
        <v>247</v>
      </c>
      <c r="AF35" s="87" t="s">
        <v>251</v>
      </c>
      <c r="AG35" s="85" t="s">
        <v>246</v>
      </c>
      <c r="AH35" s="87" t="s">
        <v>249</v>
      </c>
      <c r="AI35" s="99" t="s">
        <v>250</v>
      </c>
      <c r="AJ35" s="100" t="s">
        <v>244</v>
      </c>
      <c r="AK35" s="99" t="s">
        <v>245</v>
      </c>
      <c r="AL35" s="18" t="s">
        <v>31</v>
      </c>
    </row>
    <row r="36" spans="1:38">
      <c r="A36" s="20" t="s">
        <v>66</v>
      </c>
      <c r="B36" s="20">
        <v>1</v>
      </c>
      <c r="C36" s="20">
        <v>1</v>
      </c>
      <c r="D36" s="20">
        <v>4</v>
      </c>
      <c r="E36" s="20">
        <v>2</v>
      </c>
      <c r="F36" s="20">
        <v>1</v>
      </c>
      <c r="G36" s="20">
        <v>1</v>
      </c>
      <c r="H36" s="20">
        <v>1</v>
      </c>
      <c r="I36" s="20">
        <v>1</v>
      </c>
      <c r="J36" s="20">
        <v>2</v>
      </c>
      <c r="K36" s="72">
        <v>2</v>
      </c>
      <c r="L36" s="94">
        <v>4</v>
      </c>
      <c r="M36" s="72">
        <v>2</v>
      </c>
      <c r="N36" s="72">
        <v>1</v>
      </c>
      <c r="O36" s="72">
        <v>2</v>
      </c>
      <c r="P36" s="72">
        <v>1</v>
      </c>
      <c r="Q36" s="143">
        <v>3</v>
      </c>
      <c r="R36" s="143">
        <v>2</v>
      </c>
      <c r="S36" s="143">
        <v>2</v>
      </c>
      <c r="T36" s="143">
        <v>1</v>
      </c>
      <c r="U36" s="143">
        <v>1</v>
      </c>
      <c r="V36" s="173">
        <v>2</v>
      </c>
      <c r="W36" s="143">
        <v>2</v>
      </c>
      <c r="X36" s="143">
        <v>2</v>
      </c>
      <c r="Y36" s="129">
        <v>0</v>
      </c>
      <c r="Z36" s="129">
        <v>1</v>
      </c>
      <c r="AA36" s="129">
        <v>1</v>
      </c>
      <c r="AB36" s="129">
        <v>1</v>
      </c>
      <c r="AC36" s="23">
        <v>1</v>
      </c>
      <c r="AD36" s="23">
        <v>1</v>
      </c>
      <c r="AE36" s="23">
        <v>1</v>
      </c>
      <c r="AF36" s="88">
        <v>1</v>
      </c>
      <c r="AG36" s="86">
        <v>1</v>
      </c>
      <c r="AH36" s="88">
        <v>1</v>
      </c>
      <c r="AI36" s="101">
        <v>1</v>
      </c>
      <c r="AJ36" s="101">
        <v>1</v>
      </c>
      <c r="AK36" s="101">
        <v>1</v>
      </c>
      <c r="AL36" s="18">
        <f>SUM(B36:AK36)</f>
        <v>53</v>
      </c>
    </row>
    <row r="37" spans="1:38">
      <c r="A37" s="36" t="s">
        <v>545</v>
      </c>
      <c r="B37" s="113" t="s">
        <v>155</v>
      </c>
      <c r="C37" s="113" t="s">
        <v>155</v>
      </c>
      <c r="D37" s="116" t="s">
        <v>268</v>
      </c>
      <c r="E37" s="116" t="s">
        <v>177</v>
      </c>
      <c r="F37" s="116" t="s">
        <v>20</v>
      </c>
      <c r="G37" s="116" t="s">
        <v>48</v>
      </c>
      <c r="H37" s="112" t="s">
        <v>297</v>
      </c>
      <c r="I37" s="116" t="s">
        <v>95</v>
      </c>
      <c r="J37" s="112" t="s">
        <v>174</v>
      </c>
      <c r="K37" s="116" t="s">
        <v>177</v>
      </c>
      <c r="L37" s="113" t="s">
        <v>155</v>
      </c>
      <c r="M37" s="112" t="s">
        <v>303</v>
      </c>
      <c r="N37" s="112" t="s">
        <v>303</v>
      </c>
      <c r="O37" s="116" t="s">
        <v>175</v>
      </c>
      <c r="P37" s="116" t="s">
        <v>175</v>
      </c>
      <c r="Q37" s="126"/>
      <c r="R37" s="116" t="s">
        <v>168</v>
      </c>
      <c r="S37" s="116" t="s">
        <v>58</v>
      </c>
      <c r="T37" s="116" t="s">
        <v>168</v>
      </c>
      <c r="U37" s="125" t="s">
        <v>128</v>
      </c>
      <c r="V37" s="126"/>
      <c r="W37" s="116" t="s">
        <v>58</v>
      </c>
      <c r="X37" s="113" t="s">
        <v>419</v>
      </c>
      <c r="Y37" s="116" t="s">
        <v>268</v>
      </c>
      <c r="Z37" s="126"/>
      <c r="AA37" s="116" t="s">
        <v>175</v>
      </c>
      <c r="AB37" s="126"/>
      <c r="AC37" s="116" t="s">
        <v>268</v>
      </c>
      <c r="AD37" s="126"/>
      <c r="AE37" s="112" t="s">
        <v>303</v>
      </c>
      <c r="AF37" s="115" t="s">
        <v>500</v>
      </c>
      <c r="AG37" s="126"/>
      <c r="AH37" s="116" t="s">
        <v>175</v>
      </c>
      <c r="AI37" s="126"/>
      <c r="AJ37" s="126"/>
      <c r="AK37" s="116" t="s">
        <v>168</v>
      </c>
      <c r="AL37" s="18"/>
    </row>
    <row r="38" spans="1:38">
      <c r="A38" s="37"/>
      <c r="B38" s="37"/>
      <c r="D38" s="37"/>
      <c r="E38" s="37"/>
      <c r="F38" s="37"/>
      <c r="G38" s="37"/>
      <c r="H38" s="37"/>
      <c r="I38" s="38"/>
      <c r="J38" s="39"/>
      <c r="K38" s="59" t="s">
        <v>291</v>
      </c>
      <c r="L38" s="59" t="s">
        <v>445</v>
      </c>
      <c r="M38" s="59" t="s">
        <v>446</v>
      </c>
      <c r="N38" s="59" t="s">
        <v>446</v>
      </c>
      <c r="O38" s="59" t="s">
        <v>447</v>
      </c>
      <c r="P38" s="59" t="s">
        <v>447</v>
      </c>
      <c r="Q38" s="61" t="s">
        <v>451</v>
      </c>
      <c r="R38" s="61" t="s">
        <v>452</v>
      </c>
      <c r="S38" s="61" t="s">
        <v>452</v>
      </c>
      <c r="T38" s="61" t="s">
        <v>453</v>
      </c>
      <c r="U38" s="61" t="s">
        <v>453</v>
      </c>
      <c r="V38" s="61"/>
      <c r="W38" s="61"/>
      <c r="X38" s="61"/>
      <c r="Y38" s="104" t="s">
        <v>454</v>
      </c>
      <c r="Z38" s="104" t="s">
        <v>454</v>
      </c>
      <c r="AA38" s="104" t="s">
        <v>454</v>
      </c>
      <c r="AB38" s="104" t="s">
        <v>454</v>
      </c>
      <c r="AC38" s="104" t="s">
        <v>262</v>
      </c>
      <c r="AD38" s="104" t="s">
        <v>262</v>
      </c>
      <c r="AE38" s="104" t="s">
        <v>262</v>
      </c>
      <c r="AF38" s="104" t="s">
        <v>262</v>
      </c>
      <c r="AG38" s="104" t="s">
        <v>262</v>
      </c>
      <c r="AH38" s="104" t="s">
        <v>262</v>
      </c>
      <c r="AI38" s="104" t="s">
        <v>262</v>
      </c>
      <c r="AJ38" s="104" t="s">
        <v>262</v>
      </c>
      <c r="AK38" s="104" t="s">
        <v>262</v>
      </c>
    </row>
    <row r="39" spans="1:38" ht="21">
      <c r="A39" s="29"/>
      <c r="Z39" s="44"/>
      <c r="AB39" s="27"/>
    </row>
    <row r="40" spans="1:38" ht="16.5">
      <c r="A40" s="30" t="s">
        <v>78</v>
      </c>
      <c r="B40" s="31" t="s">
        <v>183</v>
      </c>
      <c r="S40" s="106"/>
      <c r="U40" s="106"/>
      <c r="V40" s="106"/>
      <c r="Z40" s="106"/>
      <c r="AB40" s="27"/>
      <c r="AD40" s="106"/>
    </row>
    <row r="41" spans="1:38" ht="50.1" customHeight="1">
      <c r="A41" s="20" t="s">
        <v>184</v>
      </c>
      <c r="B41" s="20" t="s">
        <v>70</v>
      </c>
      <c r="C41" s="43" t="s">
        <v>71</v>
      </c>
      <c r="D41" s="33" t="s">
        <v>33</v>
      </c>
      <c r="E41" s="33" t="s">
        <v>34</v>
      </c>
      <c r="F41" s="33" t="s">
        <v>236</v>
      </c>
      <c r="G41" s="33" t="s">
        <v>237</v>
      </c>
      <c r="H41" s="20" t="s">
        <v>178</v>
      </c>
      <c r="I41" s="20" t="s">
        <v>238</v>
      </c>
      <c r="J41" s="33" t="s">
        <v>99</v>
      </c>
      <c r="K41" s="71" t="s">
        <v>239</v>
      </c>
      <c r="L41" s="93" t="s">
        <v>253</v>
      </c>
      <c r="M41" s="71" t="s">
        <v>254</v>
      </c>
      <c r="N41" s="71" t="s">
        <v>255</v>
      </c>
      <c r="O41" s="140" t="s">
        <v>368</v>
      </c>
      <c r="P41" s="140" t="s">
        <v>369</v>
      </c>
      <c r="Q41" s="141" t="s">
        <v>289</v>
      </c>
      <c r="R41" s="142" t="s">
        <v>286</v>
      </c>
      <c r="S41" s="137" t="s">
        <v>401</v>
      </c>
      <c r="T41" s="172" t="s">
        <v>277</v>
      </c>
      <c r="U41" s="137" t="s">
        <v>448</v>
      </c>
      <c r="V41" s="137" t="s">
        <v>449</v>
      </c>
      <c r="W41" s="144" t="s">
        <v>400</v>
      </c>
      <c r="X41" s="145" t="s">
        <v>272</v>
      </c>
      <c r="Y41" s="146" t="s">
        <v>450</v>
      </c>
      <c r="Z41" s="144" t="s">
        <v>540</v>
      </c>
      <c r="AA41" s="147" t="s">
        <v>273</v>
      </c>
      <c r="AB41" s="148" t="s">
        <v>370</v>
      </c>
      <c r="AC41" s="136" t="s">
        <v>274</v>
      </c>
      <c r="AD41" s="87" t="s">
        <v>251</v>
      </c>
      <c r="AE41" s="85" t="s">
        <v>246</v>
      </c>
      <c r="AF41" s="87" t="s">
        <v>249</v>
      </c>
      <c r="AG41" s="99" t="s">
        <v>250</v>
      </c>
      <c r="AH41" s="100" t="s">
        <v>244</v>
      </c>
      <c r="AI41" s="99" t="s">
        <v>245</v>
      </c>
      <c r="AJ41" s="18" t="s">
        <v>31</v>
      </c>
      <c r="AK41" s="27"/>
    </row>
    <row r="42" spans="1:38">
      <c r="A42" s="20" t="s">
        <v>66</v>
      </c>
      <c r="B42" s="20">
        <v>1</v>
      </c>
      <c r="C42" s="20">
        <v>1</v>
      </c>
      <c r="D42" s="20">
        <v>4</v>
      </c>
      <c r="E42" s="20">
        <v>2</v>
      </c>
      <c r="F42" s="20">
        <v>1</v>
      </c>
      <c r="G42" s="20">
        <v>1</v>
      </c>
      <c r="H42" s="20">
        <v>1</v>
      </c>
      <c r="I42" s="20">
        <v>1</v>
      </c>
      <c r="J42" s="20">
        <v>2</v>
      </c>
      <c r="K42" s="72">
        <v>2</v>
      </c>
      <c r="L42" s="94">
        <v>4</v>
      </c>
      <c r="M42" s="72">
        <v>3</v>
      </c>
      <c r="N42" s="72">
        <v>3</v>
      </c>
      <c r="O42" s="143">
        <v>3</v>
      </c>
      <c r="P42" s="143">
        <v>2</v>
      </c>
      <c r="Q42" s="143">
        <v>2</v>
      </c>
      <c r="R42" s="143">
        <v>1</v>
      </c>
      <c r="S42" s="143">
        <v>1</v>
      </c>
      <c r="T42" s="173">
        <v>2</v>
      </c>
      <c r="U42" s="143">
        <v>2</v>
      </c>
      <c r="V42" s="143">
        <v>2</v>
      </c>
      <c r="W42" s="129">
        <v>1</v>
      </c>
      <c r="X42" s="129">
        <v>1</v>
      </c>
      <c r="Y42" s="129">
        <v>0</v>
      </c>
      <c r="Z42" s="129">
        <v>1</v>
      </c>
      <c r="AA42" s="114">
        <v>1</v>
      </c>
      <c r="AB42" s="114">
        <v>1</v>
      </c>
      <c r="AC42" s="114">
        <v>1</v>
      </c>
      <c r="AD42" s="88">
        <v>1</v>
      </c>
      <c r="AE42" s="86">
        <v>1</v>
      </c>
      <c r="AF42" s="88">
        <v>1</v>
      </c>
      <c r="AG42" s="101">
        <v>1</v>
      </c>
      <c r="AH42" s="101">
        <v>1</v>
      </c>
      <c r="AI42" s="101">
        <v>1</v>
      </c>
      <c r="AJ42" s="18">
        <f>SUM(B42:AI42)</f>
        <v>53</v>
      </c>
      <c r="AK42" s="27"/>
    </row>
    <row r="43" spans="1:38">
      <c r="A43" s="36" t="s">
        <v>548</v>
      </c>
      <c r="B43" s="116" t="s">
        <v>546</v>
      </c>
      <c r="C43" s="116" t="s">
        <v>177</v>
      </c>
      <c r="D43" s="116" t="s">
        <v>268</v>
      </c>
      <c r="E43" s="116" t="s">
        <v>177</v>
      </c>
      <c r="F43" s="116" t="s">
        <v>20</v>
      </c>
      <c r="G43" s="116" t="s">
        <v>48</v>
      </c>
      <c r="H43" s="112" t="s">
        <v>297</v>
      </c>
      <c r="I43" s="116" t="s">
        <v>95</v>
      </c>
      <c r="J43" s="112" t="s">
        <v>174</v>
      </c>
      <c r="K43" s="116" t="s">
        <v>177</v>
      </c>
      <c r="L43" s="115" t="s">
        <v>500</v>
      </c>
      <c r="M43" s="115" t="s">
        <v>444</v>
      </c>
      <c r="N43" s="116" t="s">
        <v>156</v>
      </c>
      <c r="O43" s="116" t="s">
        <v>154</v>
      </c>
      <c r="P43" s="126"/>
      <c r="Q43" s="126"/>
      <c r="R43" s="126"/>
      <c r="S43" s="126"/>
      <c r="T43" s="125" t="s">
        <v>263</v>
      </c>
      <c r="U43" s="126"/>
      <c r="V43" s="126"/>
      <c r="W43" s="126"/>
      <c r="X43" s="116" t="s">
        <v>177</v>
      </c>
      <c r="Y43" s="126"/>
      <c r="Z43" s="113" t="s">
        <v>438</v>
      </c>
      <c r="AA43" s="126"/>
      <c r="AB43" s="116" t="s">
        <v>154</v>
      </c>
      <c r="AC43" s="126"/>
      <c r="AD43" s="68"/>
      <c r="AE43" s="18" t="s">
        <v>266</v>
      </c>
      <c r="AF43" s="68"/>
      <c r="AG43" s="116" t="s">
        <v>177</v>
      </c>
      <c r="AH43" s="115" t="s">
        <v>444</v>
      </c>
      <c r="AI43" s="68"/>
      <c r="AJ43" s="18"/>
      <c r="AK43" s="27"/>
    </row>
    <row r="44" spans="1:38">
      <c r="A44" s="37"/>
      <c r="B44" s="37"/>
      <c r="D44" s="37"/>
      <c r="E44" s="37"/>
      <c r="F44" s="37"/>
      <c r="G44" s="37"/>
      <c r="H44" s="37"/>
      <c r="I44" s="38"/>
      <c r="K44" s="37"/>
      <c r="L44" s="59" t="s">
        <v>292</v>
      </c>
      <c r="M44" s="59" t="s">
        <v>293</v>
      </c>
      <c r="N44" s="59" t="s">
        <v>220</v>
      </c>
      <c r="O44" s="59" t="s">
        <v>294</v>
      </c>
      <c r="P44" s="61" t="s">
        <v>283</v>
      </c>
      <c r="Q44" s="61" t="s">
        <v>284</v>
      </c>
      <c r="R44" s="61" t="s">
        <v>284</v>
      </c>
      <c r="S44" s="61" t="s">
        <v>284</v>
      </c>
      <c r="T44" s="61" t="s">
        <v>285</v>
      </c>
      <c r="U44" s="61" t="s">
        <v>285</v>
      </c>
      <c r="V44" s="61" t="s">
        <v>285</v>
      </c>
      <c r="W44" s="104" t="s">
        <v>404</v>
      </c>
      <c r="X44" s="104" t="s">
        <v>404</v>
      </c>
      <c r="Y44" s="104" t="s">
        <v>404</v>
      </c>
      <c r="Z44" s="104" t="s">
        <v>404</v>
      </c>
      <c r="AA44" s="104" t="s">
        <v>262</v>
      </c>
      <c r="AB44" s="104" t="s">
        <v>262</v>
      </c>
      <c r="AC44" s="104" t="s">
        <v>262</v>
      </c>
      <c r="AD44" s="104" t="s">
        <v>262</v>
      </c>
      <c r="AE44" s="104" t="s">
        <v>262</v>
      </c>
      <c r="AF44" s="104" t="s">
        <v>262</v>
      </c>
      <c r="AG44" s="104" t="s">
        <v>262</v>
      </c>
      <c r="AH44" s="104" t="s">
        <v>262</v>
      </c>
      <c r="AI44" s="104" t="s">
        <v>262</v>
      </c>
    </row>
    <row r="45" spans="1:38" ht="21">
      <c r="A45" s="29"/>
      <c r="W45" s="44"/>
      <c r="X45" s="44"/>
    </row>
    <row r="46" spans="1:38" ht="16.5">
      <c r="A46" s="30" t="s">
        <v>68</v>
      </c>
      <c r="B46" s="31" t="s">
        <v>183</v>
      </c>
    </row>
    <row r="47" spans="1:38" ht="50.1" customHeight="1">
      <c r="A47" s="20" t="s">
        <v>184</v>
      </c>
      <c r="B47" s="20" t="s">
        <v>70</v>
      </c>
      <c r="C47" s="43" t="s">
        <v>71</v>
      </c>
      <c r="D47" s="33" t="s">
        <v>33</v>
      </c>
      <c r="E47" s="33" t="s">
        <v>34</v>
      </c>
      <c r="F47" s="33" t="s">
        <v>21</v>
      </c>
      <c r="G47" s="33" t="s">
        <v>256</v>
      </c>
      <c r="H47" s="33" t="s">
        <v>257</v>
      </c>
      <c r="I47" s="33" t="s">
        <v>236</v>
      </c>
      <c r="J47" s="160" t="s">
        <v>417</v>
      </c>
      <c r="K47" s="160" t="s">
        <v>542</v>
      </c>
      <c r="L47" s="20" t="s">
        <v>258</v>
      </c>
      <c r="M47" s="32" t="s">
        <v>171</v>
      </c>
      <c r="N47" s="32" t="s">
        <v>172</v>
      </c>
      <c r="O47" s="149" t="s">
        <v>271</v>
      </c>
      <c r="P47" s="149" t="s">
        <v>470</v>
      </c>
      <c r="Q47" s="129" t="s">
        <v>282</v>
      </c>
      <c r="R47" s="129" t="s">
        <v>406</v>
      </c>
      <c r="S47" s="129" t="s">
        <v>543</v>
      </c>
      <c r="T47" s="150" t="s">
        <v>276</v>
      </c>
      <c r="U47" s="151" t="s">
        <v>181</v>
      </c>
      <c r="V47" s="151" t="s">
        <v>181</v>
      </c>
      <c r="W47" s="18" t="s">
        <v>31</v>
      </c>
      <c r="X47" s="28"/>
      <c r="Y47" s="28"/>
      <c r="Z47" s="28"/>
      <c r="AA47" s="28"/>
    </row>
    <row r="48" spans="1:38">
      <c r="A48" s="20" t="s">
        <v>66</v>
      </c>
      <c r="B48" s="20">
        <v>1</v>
      </c>
      <c r="C48" s="20">
        <v>1</v>
      </c>
      <c r="D48" s="20">
        <v>4</v>
      </c>
      <c r="E48" s="20">
        <v>2</v>
      </c>
      <c r="F48" s="20">
        <v>1</v>
      </c>
      <c r="G48" s="20">
        <v>2</v>
      </c>
      <c r="H48" s="20">
        <v>1</v>
      </c>
      <c r="I48" s="20">
        <v>1</v>
      </c>
      <c r="J48" s="20">
        <v>1</v>
      </c>
      <c r="K48" s="20">
        <v>1</v>
      </c>
      <c r="L48" s="20">
        <v>2</v>
      </c>
      <c r="M48" s="40">
        <v>4</v>
      </c>
      <c r="N48" s="40">
        <v>4</v>
      </c>
      <c r="O48" s="152">
        <v>2</v>
      </c>
      <c r="P48" s="152">
        <v>2</v>
      </c>
      <c r="Q48" s="129">
        <v>1</v>
      </c>
      <c r="R48" s="129">
        <v>1</v>
      </c>
      <c r="S48" s="129">
        <v>1</v>
      </c>
      <c r="T48" s="153">
        <v>1</v>
      </c>
      <c r="U48" s="154">
        <v>1</v>
      </c>
      <c r="V48" s="154">
        <v>1</v>
      </c>
      <c r="W48" s="18">
        <f>SUM(B48:V48)</f>
        <v>35</v>
      </c>
      <c r="X48" s="28"/>
      <c r="Y48" s="28"/>
      <c r="Z48" s="28"/>
      <c r="AA48" s="28"/>
    </row>
    <row r="49" spans="1:28">
      <c r="A49" s="20" t="s">
        <v>551</v>
      </c>
      <c r="B49" s="116" t="s">
        <v>549</v>
      </c>
      <c r="C49" s="116" t="s">
        <v>339</v>
      </c>
      <c r="D49" s="112" t="s">
        <v>348</v>
      </c>
      <c r="E49" s="116" t="s">
        <v>177</v>
      </c>
      <c r="F49" s="116" t="s">
        <v>154</v>
      </c>
      <c r="G49" s="112" t="s">
        <v>156</v>
      </c>
      <c r="H49" s="113" t="s">
        <v>438</v>
      </c>
      <c r="I49" s="116" t="s">
        <v>20</v>
      </c>
      <c r="J49" s="116" t="s">
        <v>297</v>
      </c>
      <c r="K49" s="116" t="s">
        <v>95</v>
      </c>
      <c r="L49" s="113" t="s">
        <v>419</v>
      </c>
      <c r="M49" s="116" t="s">
        <v>180</v>
      </c>
      <c r="N49" s="116" t="s">
        <v>180</v>
      </c>
      <c r="O49" s="116" t="s">
        <v>177</v>
      </c>
      <c r="P49" s="112" t="s">
        <v>382</v>
      </c>
      <c r="Q49" s="116" t="s">
        <v>500</v>
      </c>
      <c r="R49" s="116" t="s">
        <v>384</v>
      </c>
      <c r="S49" s="113" t="s">
        <v>612</v>
      </c>
      <c r="T49" s="116" t="s">
        <v>500</v>
      </c>
      <c r="U49" s="116" t="s">
        <v>180</v>
      </c>
      <c r="V49" s="116" t="s">
        <v>376</v>
      </c>
      <c r="W49" s="16"/>
      <c r="X49" s="28"/>
      <c r="Y49" s="28"/>
      <c r="Z49" s="28"/>
      <c r="AA49" s="28"/>
    </row>
    <row r="50" spans="1:28">
      <c r="A50" s="37"/>
      <c r="B50" s="37"/>
      <c r="D50" s="37"/>
      <c r="E50" s="37"/>
      <c r="F50" s="37"/>
      <c r="G50" s="37"/>
      <c r="H50" s="37"/>
      <c r="I50" s="38"/>
      <c r="J50" s="39"/>
      <c r="K50" s="39"/>
      <c r="L50" s="37"/>
      <c r="O50" s="59" t="s">
        <v>292</v>
      </c>
      <c r="P50" s="59" t="s">
        <v>296</v>
      </c>
      <c r="Q50" s="61" t="s">
        <v>403</v>
      </c>
      <c r="R50" s="61" t="s">
        <v>403</v>
      </c>
      <c r="S50" s="61"/>
      <c r="T50" s="104" t="s">
        <v>262</v>
      </c>
      <c r="U50" s="104"/>
      <c r="V50" s="104" t="s">
        <v>262</v>
      </c>
      <c r="Y50" s="39"/>
      <c r="AA50" s="28"/>
    </row>
    <row r="51" spans="1:28">
      <c r="AB51" s="27"/>
    </row>
    <row r="54" spans="1:28" ht="16.5" thickBot="1">
      <c r="A54" s="45" t="s">
        <v>97</v>
      </c>
    </row>
    <row r="55" spans="1:28">
      <c r="A55" s="46" t="s">
        <v>84</v>
      </c>
      <c r="B55" s="47" t="s">
        <v>28</v>
      </c>
      <c r="C55" s="47" t="s">
        <v>124</v>
      </c>
      <c r="D55" s="47" t="s">
        <v>22</v>
      </c>
      <c r="E55" s="47" t="s">
        <v>105</v>
      </c>
      <c r="F55" s="47" t="s">
        <v>106</v>
      </c>
      <c r="G55" s="47"/>
      <c r="H55" s="48"/>
    </row>
    <row r="56" spans="1:28" ht="16.5" thickBot="1">
      <c r="A56" s="49" t="s">
        <v>86</v>
      </c>
      <c r="B56" s="54" t="s">
        <v>81</v>
      </c>
      <c r="C56" s="54" t="s">
        <v>267</v>
      </c>
      <c r="D56" s="167" t="s">
        <v>230</v>
      </c>
      <c r="E56" s="18" t="s">
        <v>130</v>
      </c>
      <c r="F56" s="18" t="s">
        <v>25</v>
      </c>
      <c r="G56" s="18"/>
      <c r="H56" s="50"/>
    </row>
    <row r="57" spans="1:28" ht="16.5" thickBot="1">
      <c r="A57" s="51" t="s">
        <v>87</v>
      </c>
      <c r="B57" s="54" t="s">
        <v>81</v>
      </c>
      <c r="C57" s="54" t="s">
        <v>267</v>
      </c>
      <c r="D57" s="167" t="s">
        <v>230</v>
      </c>
      <c r="E57" s="18" t="s">
        <v>130</v>
      </c>
      <c r="F57" s="18" t="s">
        <v>25</v>
      </c>
      <c r="G57" s="18"/>
      <c r="H57" s="50"/>
    </row>
    <row r="58" spans="1:28">
      <c r="A58" s="49"/>
      <c r="B58" s="17"/>
      <c r="C58" s="17"/>
      <c r="D58" s="14"/>
      <c r="E58" s="52"/>
      <c r="F58" s="18"/>
      <c r="G58" s="18"/>
      <c r="H58" s="50"/>
    </row>
    <row r="59" spans="1:28">
      <c r="A59" s="49" t="s">
        <v>84</v>
      </c>
      <c r="B59" s="18" t="s">
        <v>28</v>
      </c>
      <c r="C59" s="18" t="s">
        <v>29</v>
      </c>
      <c r="D59" s="18" t="s">
        <v>22</v>
      </c>
      <c r="E59" s="18" t="s">
        <v>93</v>
      </c>
      <c r="F59" s="18" t="s">
        <v>88</v>
      </c>
      <c r="G59" s="18" t="s">
        <v>21</v>
      </c>
      <c r="H59" s="50" t="s">
        <v>435</v>
      </c>
      <c r="S59" s="28"/>
      <c r="T59" s="28"/>
      <c r="U59" s="28"/>
      <c r="V59" s="28"/>
      <c r="W59" s="28"/>
      <c r="X59" s="28"/>
      <c r="Y59" s="28"/>
      <c r="Z59" s="28"/>
      <c r="AA59" s="28"/>
    </row>
    <row r="60" spans="1:28">
      <c r="A60" s="49" t="s">
        <v>89</v>
      </c>
      <c r="B60" s="18" t="s">
        <v>377</v>
      </c>
      <c r="C60" s="18" t="s">
        <v>126</v>
      </c>
      <c r="D60" s="16" t="s">
        <v>129</v>
      </c>
      <c r="E60" s="18" t="s">
        <v>109</v>
      </c>
      <c r="F60" s="18" t="s">
        <v>25</v>
      </c>
      <c r="G60" s="68"/>
      <c r="H60" s="79"/>
      <c r="S60" s="28"/>
      <c r="T60" s="28"/>
      <c r="U60" s="28"/>
      <c r="V60" s="28"/>
      <c r="W60" s="28"/>
      <c r="X60" s="28"/>
      <c r="Y60" s="28"/>
      <c r="Z60" s="28"/>
      <c r="AA60" s="28"/>
    </row>
    <row r="61" spans="1:28">
      <c r="A61" s="51" t="s">
        <v>90</v>
      </c>
      <c r="B61" s="18" t="s">
        <v>377</v>
      </c>
      <c r="C61" s="18" t="s">
        <v>126</v>
      </c>
      <c r="D61" s="17" t="s">
        <v>125</v>
      </c>
      <c r="E61" s="68"/>
      <c r="F61" s="68"/>
      <c r="G61" s="18" t="s">
        <v>127</v>
      </c>
      <c r="H61" s="178" t="s">
        <v>444</v>
      </c>
      <c r="S61" s="28"/>
      <c r="T61" s="28"/>
      <c r="U61" s="28"/>
      <c r="V61" s="28"/>
      <c r="W61" s="28"/>
      <c r="X61" s="28"/>
      <c r="Y61" s="28"/>
      <c r="Z61" s="28"/>
      <c r="AA61" s="28"/>
    </row>
    <row r="62" spans="1:28">
      <c r="A62" s="49"/>
      <c r="B62" s="18"/>
      <c r="C62" s="18"/>
      <c r="D62" s="18"/>
      <c r="E62" s="18"/>
      <c r="F62" s="18"/>
      <c r="G62" s="18"/>
      <c r="H62" s="50"/>
      <c r="S62" s="28"/>
      <c r="T62" s="28"/>
      <c r="U62" s="28"/>
      <c r="V62" s="28"/>
      <c r="W62" s="28"/>
      <c r="X62" s="28"/>
      <c r="Y62" s="28"/>
      <c r="Z62" s="28"/>
      <c r="AA62" s="28"/>
    </row>
    <row r="63" spans="1:28">
      <c r="A63" s="49" t="s">
        <v>84</v>
      </c>
      <c r="B63" s="18" t="s">
        <v>28</v>
      </c>
      <c r="C63" s="18" t="s">
        <v>29</v>
      </c>
      <c r="D63" s="18" t="s">
        <v>22</v>
      </c>
      <c r="E63" s="18" t="s">
        <v>93</v>
      </c>
      <c r="F63" s="18" t="s">
        <v>88</v>
      </c>
      <c r="G63" s="18" t="s">
        <v>38</v>
      </c>
      <c r="H63" s="50" t="s">
        <v>21</v>
      </c>
      <c r="S63" s="28"/>
      <c r="T63" s="28"/>
      <c r="U63" s="28"/>
      <c r="V63" s="28"/>
      <c r="W63" s="28"/>
      <c r="X63" s="28"/>
      <c r="Y63" s="28"/>
      <c r="Z63" s="28"/>
      <c r="AA63" s="28"/>
    </row>
    <row r="64" spans="1:28">
      <c r="A64" s="49" t="s">
        <v>91</v>
      </c>
      <c r="B64" s="18" t="s">
        <v>264</v>
      </c>
      <c r="C64" s="18" t="s">
        <v>123</v>
      </c>
      <c r="D64" s="16" t="s">
        <v>129</v>
      </c>
      <c r="E64" s="18" t="s">
        <v>379</v>
      </c>
      <c r="F64" s="18" t="s">
        <v>25</v>
      </c>
      <c r="G64" s="68"/>
      <c r="H64" s="79"/>
      <c r="S64" s="28"/>
      <c r="T64" s="28"/>
      <c r="U64" s="28"/>
      <c r="V64" s="28"/>
      <c r="W64" s="28"/>
      <c r="X64" s="28"/>
      <c r="Y64" s="28"/>
      <c r="Z64" s="28"/>
      <c r="AA64" s="28"/>
    </row>
    <row r="65" spans="1:27" ht="16.5" thickBot="1">
      <c r="A65" s="53" t="s">
        <v>92</v>
      </c>
      <c r="B65" s="18" t="s">
        <v>264</v>
      </c>
      <c r="C65" s="18" t="s">
        <v>123</v>
      </c>
      <c r="D65" s="116" t="s">
        <v>501</v>
      </c>
      <c r="E65" s="80"/>
      <c r="F65" s="80"/>
      <c r="G65" s="54" t="s">
        <v>130</v>
      </c>
      <c r="H65" s="109" t="s">
        <v>127</v>
      </c>
      <c r="S65" s="28"/>
      <c r="T65" s="28"/>
      <c r="U65" s="28"/>
      <c r="V65" s="28"/>
      <c r="W65" s="28"/>
      <c r="X65" s="28"/>
      <c r="Y65" s="28"/>
      <c r="Z65" s="28"/>
      <c r="AA65" s="28"/>
    </row>
    <row r="66" spans="1:27">
      <c r="S66" s="28"/>
      <c r="T66" s="28"/>
      <c r="U66" s="28"/>
      <c r="V66" s="28"/>
      <c r="W66" s="28"/>
      <c r="X66" s="28"/>
      <c r="Y66" s="28"/>
      <c r="Z66" s="28"/>
      <c r="AA66" s="28"/>
    </row>
    <row r="67" spans="1:27">
      <c r="B67" s="45"/>
      <c r="C67" s="37"/>
      <c r="D67" s="37"/>
    </row>
    <row r="68" spans="1:27">
      <c r="A68" s="37"/>
      <c r="B68" s="37"/>
      <c r="C68" s="37"/>
      <c r="D68" s="37"/>
    </row>
    <row r="69" spans="1:27">
      <c r="B69" s="37"/>
      <c r="C69" s="37"/>
      <c r="D69" s="45"/>
      <c r="E69" s="39"/>
    </row>
    <row r="71" spans="1:27">
      <c r="B71" s="45"/>
      <c r="C71" s="37"/>
      <c r="D71" s="37"/>
    </row>
    <row r="72" spans="1:27">
      <c r="A72" s="37"/>
      <c r="B72" s="37"/>
      <c r="C72" s="37"/>
      <c r="D72" s="37"/>
    </row>
    <row r="75" spans="1:27">
      <c r="B75" s="45"/>
      <c r="C75" s="37"/>
      <c r="D75" s="37"/>
    </row>
    <row r="76" spans="1:27">
      <c r="A76" s="37"/>
      <c r="B76" s="37"/>
      <c r="C76" s="37"/>
      <c r="D76" s="3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8" scale="52" orientation="landscape" r:id="rId1"/>
  <headerFooter alignWithMargins="0">
    <oddHeader>&amp;R&amp;T    &amp;D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Fill="0" autoLine="0" r:id="rId5">
            <anchor moveWithCells="1">
              <from>
                <xdr:col>5</xdr:col>
                <xdr:colOff>0</xdr:colOff>
                <xdr:row>0</xdr:row>
                <xdr:rowOff>76200</xdr:rowOff>
              </from>
              <to>
                <xdr:col>8</xdr:col>
                <xdr:colOff>476250</xdr:colOff>
                <xdr:row>2</xdr:row>
                <xdr:rowOff>76200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2"/>
  </sheetPr>
  <dimension ref="A1:E395"/>
  <sheetViews>
    <sheetView showGridLines="0" workbookViewId="0">
      <pane ySplit="1" topLeftCell="A2" activePane="bottomLeft" state="frozen"/>
      <selection sqref="A1:IV1"/>
      <selection pane="bottomLeft"/>
    </sheetView>
  </sheetViews>
  <sheetFormatPr defaultColWidth="9" defaultRowHeight="15"/>
  <cols>
    <col min="1" max="1" width="12.875" style="2" bestFit="1" customWidth="1"/>
    <col min="2" max="2" width="15.125" style="2" bestFit="1" customWidth="1"/>
    <col min="3" max="5" width="12.125" style="2" bestFit="1" customWidth="1"/>
    <col min="6" max="16384" width="9" style="2"/>
  </cols>
  <sheetData>
    <row r="1" spans="1:5" ht="16.5">
      <c r="A1" s="4" t="s">
        <v>59</v>
      </c>
      <c r="B1" s="4" t="s">
        <v>60</v>
      </c>
      <c r="C1" s="4" t="s">
        <v>61</v>
      </c>
      <c r="D1" s="4" t="s">
        <v>62</v>
      </c>
      <c r="E1" s="4" t="s">
        <v>63</v>
      </c>
    </row>
    <row r="2" spans="1:5" ht="16.5">
      <c r="A2" s="2" t="s">
        <v>617</v>
      </c>
      <c r="B2" s="5" t="s">
        <v>232</v>
      </c>
      <c r="C2" s="2">
        <v>1</v>
      </c>
      <c r="D2" s="5" t="s">
        <v>593</v>
      </c>
      <c r="E2" s="2" t="s">
        <v>64</v>
      </c>
    </row>
    <row r="3" spans="1:5" ht="16.5">
      <c r="A3" s="2" t="s">
        <v>617</v>
      </c>
      <c r="B3" s="5" t="s">
        <v>71</v>
      </c>
      <c r="C3" s="2">
        <v>1</v>
      </c>
      <c r="D3" s="5" t="s">
        <v>280</v>
      </c>
      <c r="E3" s="2" t="s">
        <v>64</v>
      </c>
    </row>
    <row r="4" spans="1:5" ht="16.5">
      <c r="A4" s="2" t="s">
        <v>617</v>
      </c>
      <c r="B4" s="5" t="s">
        <v>33</v>
      </c>
      <c r="C4" s="2">
        <v>5</v>
      </c>
      <c r="D4" s="5" t="s">
        <v>57</v>
      </c>
      <c r="E4" s="2" t="s">
        <v>64</v>
      </c>
    </row>
    <row r="5" spans="1:5" ht="16.5">
      <c r="A5" s="2" t="s">
        <v>617</v>
      </c>
      <c r="B5" s="5" t="s">
        <v>148</v>
      </c>
      <c r="C5" s="2">
        <v>3</v>
      </c>
      <c r="D5" s="5" t="s">
        <v>45</v>
      </c>
      <c r="E5" s="2" t="s">
        <v>64</v>
      </c>
    </row>
    <row r="6" spans="1:5" ht="16.5">
      <c r="A6" s="2" t="s">
        <v>617</v>
      </c>
      <c r="B6" s="5" t="s">
        <v>35</v>
      </c>
      <c r="C6" s="2">
        <v>4</v>
      </c>
      <c r="D6" s="5" t="s">
        <v>603</v>
      </c>
      <c r="E6" s="2" t="s">
        <v>64</v>
      </c>
    </row>
    <row r="7" spans="1:5" ht="16.5">
      <c r="A7" s="2" t="s">
        <v>617</v>
      </c>
      <c r="B7" s="5" t="s">
        <v>37</v>
      </c>
      <c r="C7" s="2">
        <v>1</v>
      </c>
      <c r="D7" s="5" t="s">
        <v>593</v>
      </c>
      <c r="E7" s="2" t="s">
        <v>64</v>
      </c>
    </row>
    <row r="8" spans="1:5" ht="16.5">
      <c r="A8" s="2" t="s">
        <v>617</v>
      </c>
      <c r="B8" s="5" t="s">
        <v>38</v>
      </c>
      <c r="C8" s="2">
        <v>1</v>
      </c>
      <c r="D8" s="5" t="s">
        <v>51</v>
      </c>
      <c r="E8" s="2" t="s">
        <v>64</v>
      </c>
    </row>
    <row r="9" spans="1:5" ht="16.5">
      <c r="A9" s="2" t="s">
        <v>617</v>
      </c>
      <c r="B9" s="5" t="s">
        <v>47</v>
      </c>
      <c r="C9" s="2">
        <v>1</v>
      </c>
      <c r="D9" s="5" t="s">
        <v>49</v>
      </c>
      <c r="E9" s="2" t="s">
        <v>64</v>
      </c>
    </row>
    <row r="10" spans="1:5" ht="16.5">
      <c r="A10" s="2" t="s">
        <v>617</v>
      </c>
      <c r="B10" s="5" t="s">
        <v>36</v>
      </c>
      <c r="C10" s="2">
        <v>3</v>
      </c>
      <c r="D10" s="5" t="s">
        <v>226</v>
      </c>
      <c r="E10" s="2" t="s">
        <v>64</v>
      </c>
    </row>
    <row r="11" spans="1:5" ht="16.5">
      <c r="A11" s="2" t="s">
        <v>617</v>
      </c>
      <c r="B11" s="5" t="s">
        <v>40</v>
      </c>
      <c r="C11" s="2">
        <v>1</v>
      </c>
      <c r="D11" s="5" t="s">
        <v>20</v>
      </c>
      <c r="E11" s="2" t="s">
        <v>64</v>
      </c>
    </row>
    <row r="12" spans="1:5" ht="16.5">
      <c r="A12" s="2" t="s">
        <v>617</v>
      </c>
      <c r="B12" s="5" t="s">
        <v>149</v>
      </c>
      <c r="C12" s="2">
        <v>1</v>
      </c>
      <c r="D12" s="5" t="s">
        <v>48</v>
      </c>
      <c r="E12" s="2" t="s">
        <v>64</v>
      </c>
    </row>
    <row r="13" spans="1:5" ht="16.5">
      <c r="A13" s="2" t="s">
        <v>617</v>
      </c>
      <c r="B13" s="5" t="s">
        <v>107</v>
      </c>
      <c r="C13" s="2">
        <v>1</v>
      </c>
      <c r="D13" s="5" t="s">
        <v>297</v>
      </c>
      <c r="E13" s="2" t="s">
        <v>64</v>
      </c>
    </row>
    <row r="14" spans="1:5" ht="16.5">
      <c r="A14" s="2" t="s">
        <v>617</v>
      </c>
      <c r="B14" s="5" t="s">
        <v>150</v>
      </c>
      <c r="C14" s="2">
        <v>1</v>
      </c>
      <c r="D14" s="5" t="s">
        <v>100</v>
      </c>
      <c r="E14" s="2" t="s">
        <v>64</v>
      </c>
    </row>
    <row r="15" spans="1:5" ht="16.5">
      <c r="A15" s="2" t="s">
        <v>617</v>
      </c>
      <c r="B15" s="5" t="s">
        <v>233</v>
      </c>
      <c r="C15" s="2">
        <v>1</v>
      </c>
      <c r="D15" s="5" t="s">
        <v>579</v>
      </c>
      <c r="E15" s="2" t="s">
        <v>64</v>
      </c>
    </row>
    <row r="16" spans="1:5">
      <c r="A16" s="2" t="s">
        <v>617</v>
      </c>
      <c r="B16" s="2" t="s">
        <v>41</v>
      </c>
      <c r="C16" s="2">
        <v>1</v>
      </c>
      <c r="D16" s="2" t="s">
        <v>14</v>
      </c>
      <c r="E16" s="2" t="s">
        <v>64</v>
      </c>
    </row>
    <row r="17" spans="1:5" ht="16.5">
      <c r="A17" s="2" t="s">
        <v>617</v>
      </c>
      <c r="B17" s="5" t="s">
        <v>42</v>
      </c>
      <c r="C17" s="2">
        <v>1</v>
      </c>
      <c r="D17" s="5" t="s">
        <v>49</v>
      </c>
      <c r="E17" s="2" t="s">
        <v>64</v>
      </c>
    </row>
    <row r="18" spans="1:5">
      <c r="A18" s="2" t="s">
        <v>617</v>
      </c>
      <c r="B18" s="2" t="s">
        <v>43</v>
      </c>
      <c r="C18" s="2">
        <v>1</v>
      </c>
      <c r="D18" s="2" t="s">
        <v>297</v>
      </c>
      <c r="E18" s="2" t="s">
        <v>64</v>
      </c>
    </row>
    <row r="19" spans="1:5" ht="16.5">
      <c r="A19" s="2" t="s">
        <v>617</v>
      </c>
      <c r="B19" s="5" t="s">
        <v>265</v>
      </c>
      <c r="C19" s="2">
        <v>1</v>
      </c>
      <c r="D19" s="5" t="s">
        <v>174</v>
      </c>
      <c r="E19" s="2" t="s">
        <v>64</v>
      </c>
    </row>
    <row r="20" spans="1:5" ht="16.5">
      <c r="A20" s="2" t="s">
        <v>617</v>
      </c>
      <c r="B20" s="5" t="s">
        <v>39</v>
      </c>
      <c r="C20" s="2">
        <v>2</v>
      </c>
      <c r="D20" s="5" t="s">
        <v>327</v>
      </c>
      <c r="E20" s="2" t="s">
        <v>64</v>
      </c>
    </row>
    <row r="21" spans="1:5" ht="16.5">
      <c r="A21" s="2" t="s">
        <v>617</v>
      </c>
      <c r="B21" s="5" t="s">
        <v>39</v>
      </c>
      <c r="C21" s="2">
        <v>1</v>
      </c>
      <c r="D21" s="5" t="s">
        <v>402</v>
      </c>
      <c r="E21" s="2" t="s">
        <v>200</v>
      </c>
    </row>
    <row r="22" spans="1:5" ht="16.5">
      <c r="A22" s="2" t="s">
        <v>617</v>
      </c>
      <c r="B22" s="5" t="s">
        <v>151</v>
      </c>
      <c r="C22" s="2">
        <v>1</v>
      </c>
      <c r="D22" s="5" t="s">
        <v>45</v>
      </c>
      <c r="E22" s="2" t="s">
        <v>64</v>
      </c>
    </row>
    <row r="23" spans="1:5" ht="16.5">
      <c r="A23" s="2" t="s">
        <v>617</v>
      </c>
      <c r="B23" s="5" t="s">
        <v>224</v>
      </c>
      <c r="C23" s="2">
        <v>1</v>
      </c>
      <c r="D23" s="5" t="s">
        <v>51</v>
      </c>
      <c r="E23" s="2" t="s">
        <v>64</v>
      </c>
    </row>
    <row r="24" spans="1:5" ht="16.5">
      <c r="A24" s="2" t="s">
        <v>617</v>
      </c>
      <c r="B24" s="5" t="s">
        <v>436</v>
      </c>
      <c r="C24" s="2">
        <v>1</v>
      </c>
      <c r="D24" s="5" t="s">
        <v>601</v>
      </c>
      <c r="E24" s="2" t="s">
        <v>64</v>
      </c>
    </row>
    <row r="25" spans="1:5" ht="16.5">
      <c r="A25" s="2" t="s">
        <v>617</v>
      </c>
      <c r="B25" s="5" t="s">
        <v>152</v>
      </c>
      <c r="C25" s="2">
        <v>1</v>
      </c>
      <c r="D25" s="5" t="s">
        <v>478</v>
      </c>
      <c r="E25" s="2" t="s">
        <v>64</v>
      </c>
    </row>
    <row r="26" spans="1:5" ht="16.5">
      <c r="A26" s="2" t="s">
        <v>617</v>
      </c>
      <c r="B26" s="5" t="s">
        <v>279</v>
      </c>
      <c r="C26" s="2">
        <v>3</v>
      </c>
      <c r="D26" s="5" t="s">
        <v>402</v>
      </c>
      <c r="E26" s="2" t="s">
        <v>200</v>
      </c>
    </row>
    <row r="27" spans="1:5" ht="16.5">
      <c r="A27" s="2" t="s">
        <v>617</v>
      </c>
      <c r="B27" s="5" t="s">
        <v>281</v>
      </c>
      <c r="C27" s="2">
        <v>2</v>
      </c>
      <c r="D27" s="5" t="s">
        <v>402</v>
      </c>
      <c r="E27" s="2" t="s">
        <v>200</v>
      </c>
    </row>
    <row r="28" spans="1:5" ht="33">
      <c r="A28" s="2" t="s">
        <v>617</v>
      </c>
      <c r="B28" s="183" t="s">
        <v>580</v>
      </c>
      <c r="C28" s="2">
        <v>1</v>
      </c>
      <c r="D28" s="5" t="s">
        <v>402</v>
      </c>
      <c r="E28" s="2" t="s">
        <v>200</v>
      </c>
    </row>
    <row r="29" spans="1:5" ht="16.5">
      <c r="A29" s="2" t="s">
        <v>615</v>
      </c>
      <c r="B29" s="5" t="s">
        <v>232</v>
      </c>
      <c r="C29" s="2">
        <v>1</v>
      </c>
      <c r="D29" s="5" t="s">
        <v>603</v>
      </c>
      <c r="E29" s="2" t="s">
        <v>64</v>
      </c>
    </row>
    <row r="30" spans="1:5" ht="16.5">
      <c r="A30" s="2" t="s">
        <v>615</v>
      </c>
      <c r="B30" s="5" t="s">
        <v>71</v>
      </c>
      <c r="C30" s="2">
        <v>1</v>
      </c>
      <c r="D30" s="5" t="s">
        <v>290</v>
      </c>
      <c r="E30" s="2" t="s">
        <v>64</v>
      </c>
    </row>
    <row r="31" spans="1:5" ht="16.5">
      <c r="A31" s="2" t="s">
        <v>615</v>
      </c>
      <c r="B31" s="5" t="s">
        <v>33</v>
      </c>
      <c r="C31" s="2">
        <v>5</v>
      </c>
      <c r="D31" s="5" t="s">
        <v>601</v>
      </c>
      <c r="E31" s="2" t="s">
        <v>64</v>
      </c>
    </row>
    <row r="32" spans="1:5" ht="16.5">
      <c r="A32" s="2" t="s">
        <v>615</v>
      </c>
      <c r="B32" s="5" t="s">
        <v>148</v>
      </c>
      <c r="C32" s="2">
        <v>3</v>
      </c>
      <c r="D32" s="5" t="s">
        <v>45</v>
      </c>
      <c r="E32" s="2" t="s">
        <v>64</v>
      </c>
    </row>
    <row r="33" spans="1:5" ht="16.5">
      <c r="A33" s="2" t="s">
        <v>615</v>
      </c>
      <c r="B33" s="5" t="s">
        <v>35</v>
      </c>
      <c r="C33" s="2">
        <v>4</v>
      </c>
      <c r="D33" s="5" t="s">
        <v>603</v>
      </c>
      <c r="E33" s="2" t="s">
        <v>64</v>
      </c>
    </row>
    <row r="34" spans="1:5" ht="16.5">
      <c r="A34" s="2" t="s">
        <v>615</v>
      </c>
      <c r="B34" s="5" t="s">
        <v>37</v>
      </c>
      <c r="C34" s="2">
        <v>1</v>
      </c>
      <c r="D34" s="5" t="s">
        <v>593</v>
      </c>
      <c r="E34" s="2" t="s">
        <v>64</v>
      </c>
    </row>
    <row r="35" spans="1:5" ht="16.5">
      <c r="A35" s="2" t="s">
        <v>615</v>
      </c>
      <c r="B35" s="5" t="s">
        <v>38</v>
      </c>
      <c r="C35" s="2">
        <v>1</v>
      </c>
      <c r="D35" s="5" t="s">
        <v>51</v>
      </c>
      <c r="E35" s="2" t="s">
        <v>64</v>
      </c>
    </row>
    <row r="36" spans="1:5" ht="16.5">
      <c r="A36" s="2" t="s">
        <v>615</v>
      </c>
      <c r="B36" s="5" t="s">
        <v>47</v>
      </c>
      <c r="C36" s="2">
        <v>1</v>
      </c>
      <c r="D36" s="5" t="s">
        <v>49</v>
      </c>
      <c r="E36" s="2" t="s">
        <v>64</v>
      </c>
    </row>
    <row r="37" spans="1:5" ht="16.5">
      <c r="A37" s="2" t="s">
        <v>615</v>
      </c>
      <c r="B37" s="5" t="s">
        <v>36</v>
      </c>
      <c r="C37" s="2">
        <v>3</v>
      </c>
      <c r="D37" s="5" t="s">
        <v>473</v>
      </c>
      <c r="E37" s="2" t="s">
        <v>64</v>
      </c>
    </row>
    <row r="38" spans="1:5" ht="16.5">
      <c r="A38" s="2" t="s">
        <v>615</v>
      </c>
      <c r="B38" s="5" t="s">
        <v>40</v>
      </c>
      <c r="C38" s="2">
        <v>1</v>
      </c>
      <c r="D38" s="5" t="s">
        <v>20</v>
      </c>
      <c r="E38" s="2" t="s">
        <v>64</v>
      </c>
    </row>
    <row r="39" spans="1:5" ht="16.5">
      <c r="A39" s="2" t="s">
        <v>615</v>
      </c>
      <c r="B39" s="5" t="s">
        <v>149</v>
      </c>
      <c r="C39" s="2">
        <v>1</v>
      </c>
      <c r="D39" s="5" t="s">
        <v>48</v>
      </c>
      <c r="E39" s="2" t="s">
        <v>64</v>
      </c>
    </row>
    <row r="40" spans="1:5" ht="16.5">
      <c r="A40" s="2" t="s">
        <v>615</v>
      </c>
      <c r="B40" s="5" t="s">
        <v>107</v>
      </c>
      <c r="C40" s="2">
        <v>1</v>
      </c>
      <c r="D40" s="5" t="s">
        <v>297</v>
      </c>
      <c r="E40" s="2" t="s">
        <v>64</v>
      </c>
    </row>
    <row r="41" spans="1:5" ht="16.5">
      <c r="A41" s="2" t="s">
        <v>615</v>
      </c>
      <c r="B41" s="5" t="s">
        <v>150</v>
      </c>
      <c r="C41" s="2">
        <v>1</v>
      </c>
      <c r="D41" s="5" t="s">
        <v>100</v>
      </c>
      <c r="E41" s="2" t="s">
        <v>64</v>
      </c>
    </row>
    <row r="42" spans="1:5" ht="16.5">
      <c r="A42" s="2" t="s">
        <v>615</v>
      </c>
      <c r="B42" s="5" t="s">
        <v>233</v>
      </c>
      <c r="C42" s="2">
        <v>1</v>
      </c>
      <c r="D42" s="5" t="s">
        <v>579</v>
      </c>
      <c r="E42" s="2" t="s">
        <v>64</v>
      </c>
    </row>
    <row r="43" spans="1:5" ht="16.5">
      <c r="A43" s="2" t="s">
        <v>615</v>
      </c>
      <c r="B43" s="5" t="s">
        <v>41</v>
      </c>
      <c r="C43" s="2">
        <v>1</v>
      </c>
      <c r="D43" s="5" t="s">
        <v>14</v>
      </c>
      <c r="E43" s="2" t="s">
        <v>64</v>
      </c>
    </row>
    <row r="44" spans="1:5" ht="16.5">
      <c r="A44" s="2" t="s">
        <v>615</v>
      </c>
      <c r="B44" s="5" t="s">
        <v>42</v>
      </c>
      <c r="C44" s="2">
        <v>1</v>
      </c>
      <c r="D44" s="5" t="s">
        <v>49</v>
      </c>
      <c r="E44" s="2" t="s">
        <v>64</v>
      </c>
    </row>
    <row r="45" spans="1:5" ht="16.5">
      <c r="A45" s="2" t="s">
        <v>615</v>
      </c>
      <c r="B45" s="5" t="s">
        <v>43</v>
      </c>
      <c r="C45" s="2">
        <v>1</v>
      </c>
      <c r="D45" s="5" t="s">
        <v>297</v>
      </c>
      <c r="E45" s="2" t="s">
        <v>64</v>
      </c>
    </row>
    <row r="46" spans="1:5" ht="16.5">
      <c r="A46" s="2" t="s">
        <v>615</v>
      </c>
      <c r="B46" s="5" t="s">
        <v>265</v>
      </c>
      <c r="C46" s="2">
        <v>1</v>
      </c>
      <c r="D46" s="5" t="s">
        <v>174</v>
      </c>
      <c r="E46" s="2" t="s">
        <v>64</v>
      </c>
    </row>
    <row r="47" spans="1:5" ht="16.5">
      <c r="A47" s="2" t="s">
        <v>615</v>
      </c>
      <c r="B47" s="5" t="s">
        <v>39</v>
      </c>
      <c r="C47" s="2">
        <v>2</v>
      </c>
      <c r="D47" s="5" t="s">
        <v>327</v>
      </c>
      <c r="E47" s="2" t="s">
        <v>64</v>
      </c>
    </row>
    <row r="48" spans="1:5" ht="16.5">
      <c r="A48" s="2" t="s">
        <v>615</v>
      </c>
      <c r="B48" s="5" t="s">
        <v>39</v>
      </c>
      <c r="C48" s="2">
        <v>1</v>
      </c>
      <c r="D48" s="5" t="s">
        <v>402</v>
      </c>
      <c r="E48" s="2" t="s">
        <v>200</v>
      </c>
    </row>
    <row r="49" spans="1:5" ht="16.5">
      <c r="A49" s="2" t="s">
        <v>615</v>
      </c>
      <c r="B49" s="5" t="s">
        <v>151</v>
      </c>
      <c r="C49" s="2">
        <v>1</v>
      </c>
      <c r="D49" s="5" t="s">
        <v>45</v>
      </c>
      <c r="E49" s="2" t="s">
        <v>64</v>
      </c>
    </row>
    <row r="50" spans="1:5" ht="16.5">
      <c r="A50" s="2" t="s">
        <v>615</v>
      </c>
      <c r="B50" s="5" t="s">
        <v>224</v>
      </c>
      <c r="C50" s="2">
        <v>1</v>
      </c>
      <c r="D50" s="5" t="s">
        <v>51</v>
      </c>
      <c r="E50" s="2" t="s">
        <v>64</v>
      </c>
    </row>
    <row r="51" spans="1:5" ht="16.5">
      <c r="A51" s="2" t="s">
        <v>615</v>
      </c>
      <c r="B51" s="5" t="s">
        <v>436</v>
      </c>
      <c r="C51" s="2">
        <v>1</v>
      </c>
      <c r="D51" s="5" t="s">
        <v>601</v>
      </c>
      <c r="E51" s="2" t="s">
        <v>64</v>
      </c>
    </row>
    <row r="52" spans="1:5" ht="16.5">
      <c r="A52" s="2" t="s">
        <v>615</v>
      </c>
      <c r="B52" s="5" t="s">
        <v>152</v>
      </c>
      <c r="C52" s="2">
        <v>1</v>
      </c>
      <c r="D52" s="5" t="s">
        <v>478</v>
      </c>
      <c r="E52" s="2" t="s">
        <v>64</v>
      </c>
    </row>
    <row r="53" spans="1:5" ht="16.5">
      <c r="A53" s="2" t="s">
        <v>615</v>
      </c>
      <c r="B53" s="5" t="s">
        <v>279</v>
      </c>
      <c r="C53" s="2">
        <v>3</v>
      </c>
      <c r="D53" s="5" t="s">
        <v>402</v>
      </c>
      <c r="E53" s="2" t="s">
        <v>200</v>
      </c>
    </row>
    <row r="54" spans="1:5" ht="16.5">
      <c r="A54" s="2" t="s">
        <v>615</v>
      </c>
      <c r="B54" s="5" t="s">
        <v>281</v>
      </c>
      <c r="C54" s="2">
        <v>2</v>
      </c>
      <c r="D54" s="5" t="s">
        <v>402</v>
      </c>
      <c r="E54" s="2" t="s">
        <v>200</v>
      </c>
    </row>
    <row r="55" spans="1:5" ht="33">
      <c r="A55" s="2" t="s">
        <v>615</v>
      </c>
      <c r="B55" s="183" t="s">
        <v>580</v>
      </c>
      <c r="C55" s="2">
        <v>1</v>
      </c>
      <c r="D55" s="5" t="s">
        <v>402</v>
      </c>
      <c r="E55" s="2" t="s">
        <v>200</v>
      </c>
    </row>
    <row r="56" spans="1:5" ht="16.5">
      <c r="A56" s="2" t="s">
        <v>595</v>
      </c>
      <c r="B56" s="5" t="s">
        <v>232</v>
      </c>
      <c r="C56" s="2">
        <v>1</v>
      </c>
      <c r="D56" s="5" t="s">
        <v>297</v>
      </c>
      <c r="E56" s="2" t="s">
        <v>64</v>
      </c>
    </row>
    <row r="57" spans="1:5" ht="16.5">
      <c r="A57" s="2" t="s">
        <v>595</v>
      </c>
      <c r="B57" s="5" t="s">
        <v>71</v>
      </c>
      <c r="C57" s="2">
        <v>1</v>
      </c>
      <c r="D57" s="5" t="s">
        <v>601</v>
      </c>
      <c r="E57" s="2" t="s">
        <v>64</v>
      </c>
    </row>
    <row r="58" spans="1:5" ht="16.5">
      <c r="A58" s="2" t="s">
        <v>595</v>
      </c>
      <c r="B58" s="5" t="s">
        <v>33</v>
      </c>
      <c r="C58" s="2">
        <v>5</v>
      </c>
      <c r="D58" s="5" t="s">
        <v>601</v>
      </c>
      <c r="E58" s="2" t="s">
        <v>64</v>
      </c>
    </row>
    <row r="59" spans="1:5" ht="16.5">
      <c r="A59" s="2" t="s">
        <v>595</v>
      </c>
      <c r="B59" s="5" t="s">
        <v>148</v>
      </c>
      <c r="C59" s="2">
        <v>3</v>
      </c>
      <c r="D59" s="5" t="s">
        <v>483</v>
      </c>
      <c r="E59" s="2" t="s">
        <v>64</v>
      </c>
    </row>
    <row r="60" spans="1:5" ht="16.5">
      <c r="A60" s="2" t="s">
        <v>595</v>
      </c>
      <c r="B60" s="5" t="s">
        <v>35</v>
      </c>
      <c r="C60" s="2">
        <v>4</v>
      </c>
      <c r="D60" s="5" t="s">
        <v>603</v>
      </c>
      <c r="E60" s="2" t="s">
        <v>64</v>
      </c>
    </row>
    <row r="61" spans="1:5" ht="16.5">
      <c r="A61" s="2" t="s">
        <v>595</v>
      </c>
      <c r="B61" s="5" t="s">
        <v>37</v>
      </c>
      <c r="C61" s="2">
        <v>1</v>
      </c>
      <c r="D61" s="5" t="s">
        <v>593</v>
      </c>
      <c r="E61" s="2" t="s">
        <v>64</v>
      </c>
    </row>
    <row r="62" spans="1:5" ht="16.5">
      <c r="A62" s="2" t="s">
        <v>595</v>
      </c>
      <c r="B62" s="5" t="s">
        <v>38</v>
      </c>
      <c r="C62" s="2">
        <v>1</v>
      </c>
      <c r="D62" s="5" t="s">
        <v>51</v>
      </c>
      <c r="E62" s="2" t="s">
        <v>64</v>
      </c>
    </row>
    <row r="63" spans="1:5" ht="16.5">
      <c r="A63" s="2" t="s">
        <v>595</v>
      </c>
      <c r="B63" s="5" t="s">
        <v>47</v>
      </c>
      <c r="C63" s="2">
        <v>1</v>
      </c>
      <c r="D63" s="5" t="s">
        <v>49</v>
      </c>
      <c r="E63" s="2" t="s">
        <v>64</v>
      </c>
    </row>
    <row r="64" spans="1:5" ht="16.5">
      <c r="A64" s="2" t="s">
        <v>595</v>
      </c>
      <c r="B64" s="5" t="s">
        <v>36</v>
      </c>
      <c r="C64" s="2">
        <v>3</v>
      </c>
      <c r="D64" s="5" t="s">
        <v>473</v>
      </c>
      <c r="E64" s="2" t="s">
        <v>64</v>
      </c>
    </row>
    <row r="65" spans="1:5" ht="16.5">
      <c r="A65" s="2" t="s">
        <v>595</v>
      </c>
      <c r="B65" s="5" t="s">
        <v>40</v>
      </c>
      <c r="C65" s="2">
        <v>1</v>
      </c>
      <c r="D65" s="5" t="s">
        <v>20</v>
      </c>
      <c r="E65" s="2" t="s">
        <v>64</v>
      </c>
    </row>
    <row r="66" spans="1:5" ht="16.5">
      <c r="A66" s="2" t="s">
        <v>595</v>
      </c>
      <c r="B66" s="5" t="s">
        <v>149</v>
      </c>
      <c r="C66" s="2">
        <v>1</v>
      </c>
      <c r="D66" s="5" t="s">
        <v>48</v>
      </c>
      <c r="E66" s="2" t="s">
        <v>64</v>
      </c>
    </row>
    <row r="67" spans="1:5" ht="16.5">
      <c r="A67" s="2" t="s">
        <v>595</v>
      </c>
      <c r="B67" s="5" t="s">
        <v>107</v>
      </c>
      <c r="C67" s="2">
        <v>1</v>
      </c>
      <c r="D67" s="5" t="s">
        <v>402</v>
      </c>
      <c r="E67" s="2" t="s">
        <v>200</v>
      </c>
    </row>
    <row r="68" spans="1:5" ht="16.5">
      <c r="A68" s="2" t="s">
        <v>595</v>
      </c>
      <c r="B68" s="5" t="s">
        <v>150</v>
      </c>
      <c r="C68" s="2">
        <v>1</v>
      </c>
      <c r="D68" s="5" t="s">
        <v>100</v>
      </c>
      <c r="E68" s="2" t="s">
        <v>64</v>
      </c>
    </row>
    <row r="69" spans="1:5" ht="16.5">
      <c r="A69" s="2" t="s">
        <v>595</v>
      </c>
      <c r="B69" s="5" t="s">
        <v>233</v>
      </c>
      <c r="C69" s="2">
        <v>1</v>
      </c>
      <c r="D69" s="5" t="s">
        <v>402</v>
      </c>
      <c r="E69" s="2" t="s">
        <v>200</v>
      </c>
    </row>
    <row r="70" spans="1:5" ht="16.5">
      <c r="A70" s="2" t="s">
        <v>595</v>
      </c>
      <c r="B70" s="5" t="s">
        <v>41</v>
      </c>
      <c r="C70" s="2">
        <v>1</v>
      </c>
      <c r="D70" s="5" t="s">
        <v>402</v>
      </c>
      <c r="E70" s="2" t="s">
        <v>200</v>
      </c>
    </row>
    <row r="71" spans="1:5" ht="16.5">
      <c r="A71" s="2" t="s">
        <v>595</v>
      </c>
      <c r="B71" s="5" t="s">
        <v>42</v>
      </c>
      <c r="C71" s="2">
        <v>1</v>
      </c>
      <c r="D71" s="5" t="s">
        <v>49</v>
      </c>
      <c r="E71" s="2" t="s">
        <v>64</v>
      </c>
    </row>
    <row r="72" spans="1:5" ht="16.5">
      <c r="A72" s="2" t="s">
        <v>595</v>
      </c>
      <c r="B72" s="5" t="s">
        <v>43</v>
      </c>
      <c r="C72" s="2">
        <v>1</v>
      </c>
      <c r="D72" s="5" t="s">
        <v>297</v>
      </c>
      <c r="E72" s="2" t="s">
        <v>64</v>
      </c>
    </row>
    <row r="73" spans="1:5" ht="16.5">
      <c r="A73" s="2" t="s">
        <v>595</v>
      </c>
      <c r="B73" s="5" t="s">
        <v>265</v>
      </c>
      <c r="C73" s="2">
        <v>1</v>
      </c>
      <c r="D73" s="5" t="s">
        <v>174</v>
      </c>
      <c r="E73" s="2" t="s">
        <v>64</v>
      </c>
    </row>
    <row r="74" spans="1:5" ht="16.5">
      <c r="A74" s="2" t="s">
        <v>595</v>
      </c>
      <c r="B74" s="5" t="s">
        <v>39</v>
      </c>
      <c r="C74" s="2">
        <v>2</v>
      </c>
      <c r="D74" s="5" t="s">
        <v>402</v>
      </c>
      <c r="E74" s="2" t="s">
        <v>200</v>
      </c>
    </row>
    <row r="75" spans="1:5" ht="16.5">
      <c r="A75" s="2" t="s">
        <v>595</v>
      </c>
      <c r="B75" s="5" t="s">
        <v>39</v>
      </c>
      <c r="C75" s="2">
        <v>1</v>
      </c>
      <c r="D75" s="5" t="s">
        <v>327</v>
      </c>
      <c r="E75" s="2" t="s">
        <v>64</v>
      </c>
    </row>
    <row r="76" spans="1:5" ht="16.5">
      <c r="A76" s="2" t="s">
        <v>595</v>
      </c>
      <c r="B76" s="5" t="s">
        <v>151</v>
      </c>
      <c r="C76" s="2">
        <v>1</v>
      </c>
      <c r="D76" s="5" t="s">
        <v>483</v>
      </c>
      <c r="E76" s="2" t="s">
        <v>64</v>
      </c>
    </row>
    <row r="77" spans="1:5" ht="16.5">
      <c r="A77" s="2" t="s">
        <v>595</v>
      </c>
      <c r="B77" s="5" t="s">
        <v>224</v>
      </c>
      <c r="C77" s="2">
        <v>1</v>
      </c>
      <c r="D77" s="5" t="s">
        <v>402</v>
      </c>
      <c r="E77" s="2" t="s">
        <v>200</v>
      </c>
    </row>
    <row r="78" spans="1:5" ht="16.5">
      <c r="A78" s="2" t="s">
        <v>595</v>
      </c>
      <c r="B78" s="5" t="s">
        <v>436</v>
      </c>
      <c r="C78" s="2">
        <v>1</v>
      </c>
      <c r="D78" s="5" t="s">
        <v>402</v>
      </c>
      <c r="E78" s="2" t="s">
        <v>200</v>
      </c>
    </row>
    <row r="79" spans="1:5" ht="16.5">
      <c r="A79" s="2" t="s">
        <v>595</v>
      </c>
      <c r="B79" s="5" t="s">
        <v>152</v>
      </c>
      <c r="C79" s="2">
        <v>1</v>
      </c>
      <c r="D79" s="5" t="s">
        <v>57</v>
      </c>
      <c r="E79" s="2" t="s">
        <v>64</v>
      </c>
    </row>
    <row r="80" spans="1:5" ht="16.5">
      <c r="A80" s="2" t="s">
        <v>595</v>
      </c>
      <c r="B80" s="5" t="s">
        <v>281</v>
      </c>
      <c r="C80" s="2">
        <v>2</v>
      </c>
      <c r="D80" s="5" t="s">
        <v>280</v>
      </c>
      <c r="E80" s="2" t="s">
        <v>64</v>
      </c>
    </row>
    <row r="81" spans="1:5" ht="16.5">
      <c r="A81" s="2" t="s">
        <v>581</v>
      </c>
      <c r="B81" s="5" t="s">
        <v>232</v>
      </c>
      <c r="C81" s="2">
        <v>1</v>
      </c>
      <c r="D81" s="5" t="s">
        <v>48</v>
      </c>
      <c r="E81" s="2" t="s">
        <v>64</v>
      </c>
    </row>
    <row r="82" spans="1:5" ht="16.5">
      <c r="A82" s="2" t="s">
        <v>581</v>
      </c>
      <c r="B82" s="5" t="s">
        <v>71</v>
      </c>
      <c r="C82" s="2">
        <v>1</v>
      </c>
      <c r="D82" s="5" t="s">
        <v>489</v>
      </c>
      <c r="E82" s="2" t="s">
        <v>64</v>
      </c>
    </row>
    <row r="83" spans="1:5" ht="16.5">
      <c r="A83" s="2" t="s">
        <v>581</v>
      </c>
      <c r="B83" s="5" t="s">
        <v>33</v>
      </c>
      <c r="C83" s="2">
        <v>5</v>
      </c>
      <c r="D83" s="5" t="s">
        <v>348</v>
      </c>
      <c r="E83" s="2" t="s">
        <v>64</v>
      </c>
    </row>
    <row r="84" spans="1:5" ht="16.5">
      <c r="A84" s="2" t="s">
        <v>581</v>
      </c>
      <c r="B84" s="5" t="s">
        <v>148</v>
      </c>
      <c r="C84" s="2">
        <v>3</v>
      </c>
      <c r="D84" s="5" t="s">
        <v>50</v>
      </c>
      <c r="E84" s="2" t="s">
        <v>64</v>
      </c>
    </row>
    <row r="85" spans="1:5" ht="16.5">
      <c r="A85" s="2" t="s">
        <v>581</v>
      </c>
      <c r="B85" s="5" t="s">
        <v>35</v>
      </c>
      <c r="C85" s="2">
        <v>4</v>
      </c>
      <c r="D85" s="5" t="s">
        <v>46</v>
      </c>
      <c r="E85" s="2" t="s">
        <v>64</v>
      </c>
    </row>
    <row r="86" spans="1:5" ht="16.5">
      <c r="A86" s="2" t="s">
        <v>581</v>
      </c>
      <c r="B86" s="5" t="s">
        <v>37</v>
      </c>
      <c r="C86" s="2">
        <v>1</v>
      </c>
      <c r="D86" s="5" t="s">
        <v>593</v>
      </c>
      <c r="E86" s="2" t="s">
        <v>64</v>
      </c>
    </row>
    <row r="87" spans="1:5" ht="16.5">
      <c r="A87" s="2" t="s">
        <v>581</v>
      </c>
      <c r="B87" s="5" t="s">
        <v>38</v>
      </c>
      <c r="C87" s="2">
        <v>1</v>
      </c>
      <c r="D87" s="5" t="s">
        <v>51</v>
      </c>
      <c r="E87" s="2" t="s">
        <v>64</v>
      </c>
    </row>
    <row r="88" spans="1:5" ht="16.5">
      <c r="A88" s="2" t="s">
        <v>581</v>
      </c>
      <c r="B88" s="5" t="s">
        <v>47</v>
      </c>
      <c r="C88" s="2">
        <v>1</v>
      </c>
      <c r="D88" s="5" t="s">
        <v>49</v>
      </c>
      <c r="E88" s="2" t="s">
        <v>64</v>
      </c>
    </row>
    <row r="89" spans="1:5" ht="16.5">
      <c r="A89" s="2" t="s">
        <v>581</v>
      </c>
      <c r="B89" s="5" t="s">
        <v>55</v>
      </c>
      <c r="C89" s="2">
        <v>3</v>
      </c>
      <c r="D89" s="5" t="s">
        <v>44</v>
      </c>
      <c r="E89" s="2" t="s">
        <v>64</v>
      </c>
    </row>
    <row r="90" spans="1:5" ht="16.5">
      <c r="A90" s="2" t="s">
        <v>581</v>
      </c>
      <c r="B90" s="5" t="s">
        <v>40</v>
      </c>
      <c r="C90" s="2">
        <v>1</v>
      </c>
      <c r="D90" s="5" t="s">
        <v>20</v>
      </c>
      <c r="E90" s="2" t="s">
        <v>64</v>
      </c>
    </row>
    <row r="91" spans="1:5" ht="16.5">
      <c r="A91" s="2" t="s">
        <v>581</v>
      </c>
      <c r="B91" s="5" t="s">
        <v>149</v>
      </c>
      <c r="C91" s="2">
        <v>1</v>
      </c>
      <c r="D91" s="5" t="s">
        <v>48</v>
      </c>
      <c r="E91" s="2" t="s">
        <v>64</v>
      </c>
    </row>
    <row r="92" spans="1:5" ht="16.5">
      <c r="A92" s="2" t="s">
        <v>581</v>
      </c>
      <c r="B92" s="5" t="s">
        <v>107</v>
      </c>
      <c r="C92" s="2">
        <v>1</v>
      </c>
      <c r="D92" s="5" t="s">
        <v>297</v>
      </c>
      <c r="E92" s="2" t="s">
        <v>64</v>
      </c>
    </row>
    <row r="93" spans="1:5" ht="16.5">
      <c r="A93" s="2" t="s">
        <v>581</v>
      </c>
      <c r="B93" s="5" t="s">
        <v>150</v>
      </c>
      <c r="C93" s="2">
        <v>1</v>
      </c>
      <c r="D93" s="5" t="s">
        <v>100</v>
      </c>
      <c r="E93" s="2" t="s">
        <v>64</v>
      </c>
    </row>
    <row r="94" spans="1:5" ht="16.5">
      <c r="A94" s="2" t="s">
        <v>581</v>
      </c>
      <c r="B94" s="5" t="s">
        <v>233</v>
      </c>
      <c r="C94" s="2">
        <v>1</v>
      </c>
      <c r="D94" s="5" t="s">
        <v>579</v>
      </c>
      <c r="E94" s="2" t="s">
        <v>64</v>
      </c>
    </row>
    <row r="95" spans="1:5">
      <c r="A95" s="2" t="s">
        <v>581</v>
      </c>
      <c r="B95" s="2" t="s">
        <v>41</v>
      </c>
      <c r="C95" s="2">
        <v>1</v>
      </c>
      <c r="D95" s="2" t="s">
        <v>14</v>
      </c>
      <c r="E95" s="2" t="s">
        <v>64</v>
      </c>
    </row>
    <row r="96" spans="1:5" ht="16.5">
      <c r="A96" s="2" t="s">
        <v>581</v>
      </c>
      <c r="B96" s="5" t="s">
        <v>42</v>
      </c>
      <c r="C96" s="2">
        <v>1</v>
      </c>
      <c r="D96" s="5" t="s">
        <v>49</v>
      </c>
      <c r="E96" s="2" t="s">
        <v>64</v>
      </c>
    </row>
    <row r="97" spans="1:5" ht="16.5">
      <c r="A97" s="2" t="s">
        <v>581</v>
      </c>
      <c r="B97" s="5" t="s">
        <v>43</v>
      </c>
      <c r="C97" s="2">
        <v>1</v>
      </c>
      <c r="D97" s="5" t="s">
        <v>95</v>
      </c>
      <c r="E97" s="2" t="s">
        <v>64</v>
      </c>
    </row>
    <row r="98" spans="1:5" ht="16.5">
      <c r="A98" s="2" t="s">
        <v>581</v>
      </c>
      <c r="B98" s="5" t="s">
        <v>265</v>
      </c>
      <c r="C98" s="2">
        <v>1</v>
      </c>
      <c r="D98" s="5" t="s">
        <v>263</v>
      </c>
      <c r="E98" s="2" t="s">
        <v>64</v>
      </c>
    </row>
    <row r="99" spans="1:5" ht="16.5">
      <c r="A99" s="2" t="s">
        <v>581</v>
      </c>
      <c r="B99" s="5" t="s">
        <v>39</v>
      </c>
      <c r="C99" s="2">
        <v>2</v>
      </c>
      <c r="D99" s="5" t="s">
        <v>327</v>
      </c>
      <c r="E99" s="2" t="s">
        <v>64</v>
      </c>
    </row>
    <row r="100" spans="1:5" ht="16.5">
      <c r="A100" s="2" t="s">
        <v>581</v>
      </c>
      <c r="B100" s="5" t="s">
        <v>39</v>
      </c>
      <c r="C100" s="2">
        <v>1</v>
      </c>
      <c r="D100" s="5" t="s">
        <v>402</v>
      </c>
      <c r="E100" s="2" t="s">
        <v>200</v>
      </c>
    </row>
    <row r="101" spans="1:5" ht="16.5">
      <c r="A101" s="2" t="s">
        <v>581</v>
      </c>
      <c r="B101" s="5" t="s">
        <v>222</v>
      </c>
      <c r="C101" s="2">
        <v>1</v>
      </c>
      <c r="D101" s="5" t="s">
        <v>44</v>
      </c>
      <c r="E101" s="2" t="s">
        <v>64</v>
      </c>
    </row>
    <row r="102" spans="1:5" ht="16.5">
      <c r="A102" s="2" t="s">
        <v>581</v>
      </c>
      <c r="B102" s="5" t="s">
        <v>151</v>
      </c>
      <c r="C102" s="2">
        <v>1</v>
      </c>
      <c r="D102" s="5" t="s">
        <v>50</v>
      </c>
      <c r="E102" s="2" t="s">
        <v>64</v>
      </c>
    </row>
    <row r="103" spans="1:5" ht="16.5">
      <c r="A103" s="2" t="s">
        <v>581</v>
      </c>
      <c r="B103" s="5" t="s">
        <v>224</v>
      </c>
      <c r="C103" s="2">
        <v>1</v>
      </c>
      <c r="D103" s="5" t="s">
        <v>593</v>
      </c>
      <c r="E103" s="2" t="s">
        <v>64</v>
      </c>
    </row>
    <row r="104" spans="1:5" ht="16.5">
      <c r="A104" s="2" t="s">
        <v>581</v>
      </c>
      <c r="B104" s="5" t="s">
        <v>371</v>
      </c>
      <c r="C104" s="2">
        <v>1</v>
      </c>
      <c r="D104" s="5" t="s">
        <v>57</v>
      </c>
      <c r="E104" s="2" t="s">
        <v>64</v>
      </c>
    </row>
    <row r="105" spans="1:5" ht="16.5">
      <c r="A105" s="2" t="s">
        <v>581</v>
      </c>
      <c r="B105" s="5" t="s">
        <v>279</v>
      </c>
      <c r="C105" s="2">
        <v>3</v>
      </c>
      <c r="D105" s="5" t="s">
        <v>402</v>
      </c>
      <c r="E105" s="2" t="s">
        <v>200</v>
      </c>
    </row>
    <row r="106" spans="1:5" ht="16.5">
      <c r="A106" s="2" t="s">
        <v>581</v>
      </c>
      <c r="B106" s="183" t="s">
        <v>281</v>
      </c>
      <c r="C106" s="2">
        <v>2</v>
      </c>
      <c r="D106" s="5" t="s">
        <v>402</v>
      </c>
      <c r="E106" s="2" t="s">
        <v>200</v>
      </c>
    </row>
    <row r="107" spans="1:5" ht="33">
      <c r="A107" s="2" t="s">
        <v>581</v>
      </c>
      <c r="B107" s="183" t="s">
        <v>582</v>
      </c>
      <c r="C107" s="2">
        <v>1</v>
      </c>
      <c r="D107" s="5" t="s">
        <v>402</v>
      </c>
      <c r="E107" s="2" t="s">
        <v>200</v>
      </c>
    </row>
    <row r="108" spans="1:5" ht="16.5">
      <c r="A108" s="2" t="s">
        <v>583</v>
      </c>
      <c r="B108" s="5" t="s">
        <v>232</v>
      </c>
      <c r="C108" s="2">
        <v>1</v>
      </c>
      <c r="D108" s="5" t="s">
        <v>49</v>
      </c>
      <c r="E108" s="2" t="s">
        <v>64</v>
      </c>
    </row>
    <row r="109" spans="1:5" ht="16.5">
      <c r="A109" s="2" t="s">
        <v>583</v>
      </c>
      <c r="B109" s="5" t="s">
        <v>71</v>
      </c>
      <c r="C109" s="2">
        <v>1</v>
      </c>
      <c r="D109" s="5" t="s">
        <v>98</v>
      </c>
      <c r="E109" s="2" t="s">
        <v>64</v>
      </c>
    </row>
    <row r="110" spans="1:5" ht="16.5">
      <c r="A110" s="2" t="s">
        <v>583</v>
      </c>
      <c r="B110" s="5" t="s">
        <v>33</v>
      </c>
      <c r="C110" s="2">
        <v>5</v>
      </c>
      <c r="D110" s="5" t="s">
        <v>348</v>
      </c>
      <c r="E110" s="2" t="s">
        <v>64</v>
      </c>
    </row>
    <row r="111" spans="1:5" ht="16.5">
      <c r="A111" s="2" t="s">
        <v>583</v>
      </c>
      <c r="B111" s="5" t="s">
        <v>148</v>
      </c>
      <c r="C111" s="2">
        <v>3</v>
      </c>
      <c r="D111" s="5" t="s">
        <v>50</v>
      </c>
      <c r="E111" s="2" t="s">
        <v>64</v>
      </c>
    </row>
    <row r="112" spans="1:5" ht="16.5">
      <c r="A112" s="2" t="s">
        <v>583</v>
      </c>
      <c r="B112" s="5" t="s">
        <v>35</v>
      </c>
      <c r="C112" s="2">
        <v>4</v>
      </c>
      <c r="D112" s="5" t="s">
        <v>46</v>
      </c>
      <c r="E112" s="2" t="s">
        <v>64</v>
      </c>
    </row>
    <row r="113" spans="1:5" ht="16.5">
      <c r="A113" s="2" t="s">
        <v>583</v>
      </c>
      <c r="B113" s="5" t="s">
        <v>37</v>
      </c>
      <c r="C113" s="2">
        <v>1</v>
      </c>
      <c r="D113" s="5" t="s">
        <v>593</v>
      </c>
      <c r="E113" s="2" t="s">
        <v>64</v>
      </c>
    </row>
    <row r="114" spans="1:5" ht="16.5">
      <c r="A114" s="2" t="s">
        <v>583</v>
      </c>
      <c r="B114" s="5" t="s">
        <v>38</v>
      </c>
      <c r="C114" s="2">
        <v>1</v>
      </c>
      <c r="D114" s="5" t="s">
        <v>51</v>
      </c>
      <c r="E114" s="2" t="s">
        <v>64</v>
      </c>
    </row>
    <row r="115" spans="1:5" ht="16.5">
      <c r="A115" s="2" t="s">
        <v>583</v>
      </c>
      <c r="B115" s="5" t="s">
        <v>47</v>
      </c>
      <c r="C115" s="2">
        <v>1</v>
      </c>
      <c r="D115" s="5" t="s">
        <v>49</v>
      </c>
      <c r="E115" s="2" t="s">
        <v>64</v>
      </c>
    </row>
    <row r="116" spans="1:5">
      <c r="A116" s="2" t="s">
        <v>583</v>
      </c>
      <c r="B116" s="2" t="s">
        <v>55</v>
      </c>
      <c r="C116" s="2">
        <v>3</v>
      </c>
      <c r="D116" s="2" t="s">
        <v>44</v>
      </c>
      <c r="E116" s="2" t="s">
        <v>64</v>
      </c>
    </row>
    <row r="117" spans="1:5" ht="16.5">
      <c r="A117" s="2" t="s">
        <v>583</v>
      </c>
      <c r="B117" s="5" t="s">
        <v>40</v>
      </c>
      <c r="C117" s="2">
        <v>1</v>
      </c>
      <c r="D117" s="5" t="s">
        <v>20</v>
      </c>
      <c r="E117" s="2" t="s">
        <v>64</v>
      </c>
    </row>
    <row r="118" spans="1:5" ht="16.5">
      <c r="A118" s="2" t="s">
        <v>583</v>
      </c>
      <c r="B118" s="5" t="s">
        <v>149</v>
      </c>
      <c r="C118" s="2">
        <v>1</v>
      </c>
      <c r="D118" s="5" t="s">
        <v>48</v>
      </c>
      <c r="E118" s="2" t="s">
        <v>64</v>
      </c>
    </row>
    <row r="119" spans="1:5" ht="16.5">
      <c r="A119" s="2" t="s">
        <v>583</v>
      </c>
      <c r="B119" s="5" t="s">
        <v>107</v>
      </c>
      <c r="C119" s="2">
        <v>1</v>
      </c>
      <c r="D119" s="5" t="s">
        <v>297</v>
      </c>
      <c r="E119" s="2" t="s">
        <v>64</v>
      </c>
    </row>
    <row r="120" spans="1:5" ht="16.5">
      <c r="A120" s="2" t="s">
        <v>583</v>
      </c>
      <c r="B120" s="5" t="s">
        <v>150</v>
      </c>
      <c r="C120" s="2">
        <v>1</v>
      </c>
      <c r="D120" s="5" t="s">
        <v>100</v>
      </c>
      <c r="E120" s="2" t="s">
        <v>64</v>
      </c>
    </row>
    <row r="121" spans="1:5" ht="16.5">
      <c r="A121" s="2" t="s">
        <v>583</v>
      </c>
      <c r="B121" s="5" t="s">
        <v>233</v>
      </c>
      <c r="C121" s="2">
        <v>1</v>
      </c>
      <c r="D121" s="5" t="s">
        <v>579</v>
      </c>
      <c r="E121" s="2" t="s">
        <v>64</v>
      </c>
    </row>
    <row r="122" spans="1:5" ht="16.5">
      <c r="A122" s="2" t="s">
        <v>583</v>
      </c>
      <c r="B122" s="5" t="s">
        <v>41</v>
      </c>
      <c r="C122" s="2">
        <v>1</v>
      </c>
      <c r="D122" s="5" t="s">
        <v>14</v>
      </c>
      <c r="E122" s="2" t="s">
        <v>64</v>
      </c>
    </row>
    <row r="123" spans="1:5">
      <c r="A123" s="2" t="s">
        <v>583</v>
      </c>
      <c r="B123" s="2" t="s">
        <v>42</v>
      </c>
      <c r="C123" s="2">
        <v>1</v>
      </c>
      <c r="D123" s="2" t="s">
        <v>49</v>
      </c>
      <c r="E123" s="2" t="s">
        <v>64</v>
      </c>
    </row>
    <row r="124" spans="1:5" ht="16.5">
      <c r="A124" s="2" t="s">
        <v>583</v>
      </c>
      <c r="B124" s="5" t="s">
        <v>43</v>
      </c>
      <c r="C124" s="2">
        <v>1</v>
      </c>
      <c r="D124" s="5" t="s">
        <v>95</v>
      </c>
      <c r="E124" s="2" t="s">
        <v>64</v>
      </c>
    </row>
    <row r="125" spans="1:5" ht="16.5">
      <c r="A125" s="2" t="s">
        <v>583</v>
      </c>
      <c r="B125" s="5" t="s">
        <v>265</v>
      </c>
      <c r="C125" s="2">
        <v>1</v>
      </c>
      <c r="D125" s="5" t="s">
        <v>263</v>
      </c>
      <c r="E125" s="2" t="s">
        <v>64</v>
      </c>
    </row>
    <row r="126" spans="1:5" ht="16.5">
      <c r="A126" s="2" t="s">
        <v>583</v>
      </c>
      <c r="B126" s="5" t="s">
        <v>39</v>
      </c>
      <c r="C126" s="2">
        <v>2</v>
      </c>
      <c r="D126" s="5" t="s">
        <v>327</v>
      </c>
      <c r="E126" s="2" t="s">
        <v>64</v>
      </c>
    </row>
    <row r="127" spans="1:5" ht="16.5">
      <c r="A127" s="2" t="s">
        <v>583</v>
      </c>
      <c r="B127" s="5" t="s">
        <v>39</v>
      </c>
      <c r="C127" s="2">
        <v>1</v>
      </c>
      <c r="D127" s="5" t="s">
        <v>402</v>
      </c>
      <c r="E127" s="2" t="s">
        <v>200</v>
      </c>
    </row>
    <row r="128" spans="1:5" ht="16.5">
      <c r="A128" s="2" t="s">
        <v>583</v>
      </c>
      <c r="B128" s="5" t="s">
        <v>222</v>
      </c>
      <c r="C128" s="2">
        <v>1</v>
      </c>
      <c r="D128" s="5" t="s">
        <v>44</v>
      </c>
      <c r="E128" s="2" t="s">
        <v>64</v>
      </c>
    </row>
    <row r="129" spans="1:5" ht="16.5">
      <c r="A129" s="2" t="s">
        <v>583</v>
      </c>
      <c r="B129" s="5" t="s">
        <v>151</v>
      </c>
      <c r="C129" s="2">
        <v>1</v>
      </c>
      <c r="D129" s="5" t="s">
        <v>50</v>
      </c>
      <c r="E129" s="2" t="s">
        <v>64</v>
      </c>
    </row>
    <row r="130" spans="1:5" ht="16.5">
      <c r="A130" s="2" t="s">
        <v>583</v>
      </c>
      <c r="B130" s="5" t="s">
        <v>224</v>
      </c>
      <c r="C130" s="2">
        <v>1</v>
      </c>
      <c r="D130" s="5" t="s">
        <v>593</v>
      </c>
      <c r="E130" s="2" t="s">
        <v>64</v>
      </c>
    </row>
    <row r="131" spans="1:5" ht="16.5">
      <c r="A131" s="2" t="s">
        <v>583</v>
      </c>
      <c r="B131" s="5" t="s">
        <v>371</v>
      </c>
      <c r="C131" s="2">
        <v>1</v>
      </c>
      <c r="D131" s="5" t="s">
        <v>478</v>
      </c>
      <c r="E131" s="2" t="s">
        <v>64</v>
      </c>
    </row>
    <row r="132" spans="1:5" ht="16.5">
      <c r="A132" s="2" t="s">
        <v>583</v>
      </c>
      <c r="B132" s="5" t="s">
        <v>279</v>
      </c>
      <c r="C132" s="2">
        <v>3</v>
      </c>
      <c r="D132" s="5" t="s">
        <v>402</v>
      </c>
      <c r="E132" s="2" t="s">
        <v>200</v>
      </c>
    </row>
    <row r="133" spans="1:5" ht="16.5">
      <c r="A133" s="2" t="s">
        <v>583</v>
      </c>
      <c r="B133" s="183" t="s">
        <v>281</v>
      </c>
      <c r="C133" s="2">
        <v>2</v>
      </c>
      <c r="D133" s="5" t="s">
        <v>402</v>
      </c>
      <c r="E133" s="2" t="s">
        <v>200</v>
      </c>
    </row>
    <row r="134" spans="1:5" ht="33">
      <c r="A134" s="2" t="s">
        <v>583</v>
      </c>
      <c r="B134" s="183" t="s">
        <v>582</v>
      </c>
      <c r="C134" s="2">
        <v>1</v>
      </c>
      <c r="D134" s="5" t="s">
        <v>402</v>
      </c>
      <c r="E134" s="2" t="s">
        <v>200</v>
      </c>
    </row>
    <row r="135" spans="1:5" ht="16.5">
      <c r="A135" s="2" t="s">
        <v>584</v>
      </c>
      <c r="B135" s="5" t="s">
        <v>232</v>
      </c>
      <c r="C135" s="2">
        <v>1</v>
      </c>
      <c r="D135" s="5" t="s">
        <v>483</v>
      </c>
      <c r="E135" s="2" t="s">
        <v>64</v>
      </c>
    </row>
    <row r="136" spans="1:5" ht="16.5">
      <c r="A136" s="2" t="s">
        <v>584</v>
      </c>
      <c r="B136" s="5" t="s">
        <v>71</v>
      </c>
      <c r="C136" s="2">
        <v>1</v>
      </c>
      <c r="D136" s="5" t="s">
        <v>111</v>
      </c>
      <c r="E136" s="2" t="s">
        <v>64</v>
      </c>
    </row>
    <row r="137" spans="1:5" ht="16.5">
      <c r="A137" s="2" t="s">
        <v>584</v>
      </c>
      <c r="B137" s="5" t="s">
        <v>33</v>
      </c>
      <c r="C137" s="2">
        <v>5</v>
      </c>
      <c r="D137" s="5" t="s">
        <v>485</v>
      </c>
      <c r="E137" s="2" t="s">
        <v>64</v>
      </c>
    </row>
    <row r="138" spans="1:5" ht="16.5">
      <c r="A138" s="2" t="s">
        <v>584</v>
      </c>
      <c r="B138" s="5" t="s">
        <v>148</v>
      </c>
      <c r="C138" s="2">
        <v>3</v>
      </c>
      <c r="D138" s="5" t="s">
        <v>483</v>
      </c>
      <c r="E138" s="2" t="s">
        <v>64</v>
      </c>
    </row>
    <row r="139" spans="1:5" ht="16.5">
      <c r="A139" s="2" t="s">
        <v>584</v>
      </c>
      <c r="B139" s="5" t="s">
        <v>35</v>
      </c>
      <c r="C139" s="2">
        <v>4</v>
      </c>
      <c r="D139" s="5" t="s">
        <v>603</v>
      </c>
      <c r="E139" s="2" t="s">
        <v>64</v>
      </c>
    </row>
    <row r="140" spans="1:5" ht="16.5">
      <c r="A140" s="2" t="s">
        <v>584</v>
      </c>
      <c r="B140" s="5" t="s">
        <v>37</v>
      </c>
      <c r="C140" s="2">
        <v>1</v>
      </c>
      <c r="D140" s="5" t="s">
        <v>593</v>
      </c>
      <c r="E140" s="2" t="s">
        <v>64</v>
      </c>
    </row>
    <row r="141" spans="1:5" ht="16.5">
      <c r="A141" s="2" t="s">
        <v>584</v>
      </c>
      <c r="B141" s="5" t="s">
        <v>38</v>
      </c>
      <c r="C141" s="2">
        <v>1</v>
      </c>
      <c r="D141" s="5" t="s">
        <v>51</v>
      </c>
      <c r="E141" s="2" t="s">
        <v>64</v>
      </c>
    </row>
    <row r="142" spans="1:5" ht="16.5">
      <c r="A142" s="2" t="s">
        <v>584</v>
      </c>
      <c r="B142" s="5" t="s">
        <v>47</v>
      </c>
      <c r="C142" s="2">
        <v>1</v>
      </c>
      <c r="D142" s="5" t="s">
        <v>103</v>
      </c>
      <c r="E142" s="2" t="s">
        <v>64</v>
      </c>
    </row>
    <row r="143" spans="1:5" ht="16.5">
      <c r="A143" s="2" t="s">
        <v>584</v>
      </c>
      <c r="B143" s="5" t="s">
        <v>55</v>
      </c>
      <c r="C143" s="2">
        <v>3</v>
      </c>
      <c r="D143" s="5" t="s">
        <v>44</v>
      </c>
      <c r="E143" s="2" t="s">
        <v>64</v>
      </c>
    </row>
    <row r="144" spans="1:5" ht="16.5">
      <c r="A144" s="2" t="s">
        <v>584</v>
      </c>
      <c r="B144" s="5" t="s">
        <v>40</v>
      </c>
      <c r="C144" s="2">
        <v>1</v>
      </c>
      <c r="D144" s="5" t="s">
        <v>20</v>
      </c>
      <c r="E144" s="2" t="s">
        <v>64</v>
      </c>
    </row>
    <row r="145" spans="1:5" ht="16.5">
      <c r="A145" s="2" t="s">
        <v>584</v>
      </c>
      <c r="B145" s="5" t="s">
        <v>149</v>
      </c>
      <c r="C145" s="2">
        <v>1</v>
      </c>
      <c r="D145" s="5" t="s">
        <v>48</v>
      </c>
      <c r="E145" s="2" t="s">
        <v>64</v>
      </c>
    </row>
    <row r="146" spans="1:5" ht="16.5">
      <c r="A146" s="2" t="s">
        <v>584</v>
      </c>
      <c r="B146" s="5" t="s">
        <v>107</v>
      </c>
      <c r="C146" s="2">
        <v>1</v>
      </c>
      <c r="D146" s="5" t="s">
        <v>402</v>
      </c>
      <c r="E146" s="2" t="s">
        <v>200</v>
      </c>
    </row>
    <row r="147" spans="1:5" ht="16.5">
      <c r="A147" s="2" t="s">
        <v>584</v>
      </c>
      <c r="B147" s="5" t="s">
        <v>150</v>
      </c>
      <c r="C147" s="2">
        <v>1</v>
      </c>
      <c r="D147" s="5" t="s">
        <v>402</v>
      </c>
      <c r="E147" s="2" t="s">
        <v>200</v>
      </c>
    </row>
    <row r="148" spans="1:5" ht="16.5">
      <c r="A148" s="2" t="s">
        <v>584</v>
      </c>
      <c r="B148" s="5" t="s">
        <v>233</v>
      </c>
      <c r="C148" s="2">
        <v>1</v>
      </c>
      <c r="D148" s="5" t="s">
        <v>579</v>
      </c>
      <c r="E148" s="2" t="s">
        <v>64</v>
      </c>
    </row>
    <row r="149" spans="1:5" ht="16.5">
      <c r="A149" s="2" t="s">
        <v>584</v>
      </c>
      <c r="B149" s="5" t="s">
        <v>41</v>
      </c>
      <c r="C149" s="2">
        <v>1</v>
      </c>
      <c r="D149" s="5" t="s">
        <v>402</v>
      </c>
      <c r="E149" s="2" t="s">
        <v>200</v>
      </c>
    </row>
    <row r="150" spans="1:5" ht="16.5">
      <c r="A150" s="2" t="s">
        <v>584</v>
      </c>
      <c r="B150" s="5" t="s">
        <v>42</v>
      </c>
      <c r="C150" s="2">
        <v>1</v>
      </c>
      <c r="D150" s="5" t="s">
        <v>49</v>
      </c>
      <c r="E150" s="2" t="s">
        <v>64</v>
      </c>
    </row>
    <row r="151" spans="1:5" ht="16.5">
      <c r="A151" s="2" t="s">
        <v>584</v>
      </c>
      <c r="B151" s="5" t="s">
        <v>43</v>
      </c>
      <c r="C151" s="2">
        <v>1</v>
      </c>
      <c r="D151" s="5" t="s">
        <v>95</v>
      </c>
      <c r="E151" s="2" t="s">
        <v>64</v>
      </c>
    </row>
    <row r="152" spans="1:5" ht="16.5">
      <c r="A152" s="2" t="s">
        <v>584</v>
      </c>
      <c r="B152" s="5" t="s">
        <v>265</v>
      </c>
      <c r="C152" s="2">
        <v>1</v>
      </c>
      <c r="D152" s="5" t="s">
        <v>180</v>
      </c>
      <c r="E152" s="2" t="s">
        <v>64</v>
      </c>
    </row>
    <row r="153" spans="1:5" ht="16.5">
      <c r="A153" s="2" t="s">
        <v>584</v>
      </c>
      <c r="B153" s="5" t="s">
        <v>39</v>
      </c>
      <c r="C153" s="2">
        <v>2</v>
      </c>
      <c r="D153" s="5" t="s">
        <v>402</v>
      </c>
      <c r="E153" s="2" t="s">
        <v>200</v>
      </c>
    </row>
    <row r="154" spans="1:5" ht="16.5">
      <c r="A154" s="2" t="s">
        <v>584</v>
      </c>
      <c r="B154" s="5" t="s">
        <v>39</v>
      </c>
      <c r="C154" s="2">
        <v>1</v>
      </c>
      <c r="D154" s="5" t="s">
        <v>327</v>
      </c>
      <c r="E154" s="2" t="s">
        <v>64</v>
      </c>
    </row>
    <row r="155" spans="1:5" ht="16.5">
      <c r="A155" s="2" t="s">
        <v>584</v>
      </c>
      <c r="B155" s="5" t="s">
        <v>222</v>
      </c>
      <c r="C155" s="2">
        <v>1</v>
      </c>
      <c r="D155" s="5" t="s">
        <v>402</v>
      </c>
      <c r="E155" s="2" t="s">
        <v>200</v>
      </c>
    </row>
    <row r="156" spans="1:5" ht="16.5">
      <c r="A156" s="2" t="s">
        <v>584</v>
      </c>
      <c r="B156" s="5" t="s">
        <v>151</v>
      </c>
      <c r="C156" s="2">
        <v>1</v>
      </c>
      <c r="D156" s="5" t="s">
        <v>483</v>
      </c>
      <c r="E156" s="2" t="s">
        <v>64</v>
      </c>
    </row>
    <row r="157" spans="1:5" ht="16.5">
      <c r="A157" s="2" t="s">
        <v>584</v>
      </c>
      <c r="B157" s="5" t="s">
        <v>224</v>
      </c>
      <c r="C157" s="2">
        <v>1</v>
      </c>
      <c r="D157" s="5" t="s">
        <v>402</v>
      </c>
      <c r="E157" s="2" t="s">
        <v>200</v>
      </c>
    </row>
    <row r="158" spans="1:5" ht="16.5">
      <c r="A158" s="2" t="s">
        <v>584</v>
      </c>
      <c r="B158" s="5" t="s">
        <v>371</v>
      </c>
      <c r="C158" s="2">
        <v>1</v>
      </c>
      <c r="D158" s="5" t="s">
        <v>478</v>
      </c>
      <c r="E158" s="2" t="s">
        <v>64</v>
      </c>
    </row>
    <row r="159" spans="1:5" ht="16.5">
      <c r="A159" s="2" t="s">
        <v>584</v>
      </c>
      <c r="B159" s="183" t="s">
        <v>279</v>
      </c>
      <c r="C159" s="2">
        <v>3</v>
      </c>
      <c r="D159" s="5" t="s">
        <v>614</v>
      </c>
      <c r="E159" s="2" t="s">
        <v>64</v>
      </c>
    </row>
    <row r="160" spans="1:5" ht="33">
      <c r="A160" s="2" t="s">
        <v>584</v>
      </c>
      <c r="B160" s="183" t="s">
        <v>582</v>
      </c>
      <c r="C160" s="2">
        <v>1</v>
      </c>
      <c r="D160" s="5" t="s">
        <v>280</v>
      </c>
      <c r="E160" s="2" t="s">
        <v>64</v>
      </c>
    </row>
    <row r="161" spans="1:5" ht="16.5">
      <c r="A161" s="2" t="s">
        <v>585</v>
      </c>
      <c r="B161" s="5" t="s">
        <v>232</v>
      </c>
      <c r="C161" s="2">
        <v>1</v>
      </c>
      <c r="D161" s="5" t="s">
        <v>20</v>
      </c>
      <c r="E161" s="2" t="s">
        <v>64</v>
      </c>
    </row>
    <row r="162" spans="1:5" ht="16.5">
      <c r="A162" s="2" t="s">
        <v>585</v>
      </c>
      <c r="B162" s="5" t="s">
        <v>71</v>
      </c>
      <c r="C162" s="2">
        <v>1</v>
      </c>
      <c r="D162" s="5" t="s">
        <v>485</v>
      </c>
      <c r="E162" s="2" t="s">
        <v>64</v>
      </c>
    </row>
    <row r="163" spans="1:5" ht="16.5">
      <c r="A163" s="2" t="s">
        <v>585</v>
      </c>
      <c r="B163" s="5" t="s">
        <v>33</v>
      </c>
      <c r="C163" s="2">
        <v>5</v>
      </c>
      <c r="D163" s="5" t="s">
        <v>471</v>
      </c>
      <c r="E163" s="2" t="s">
        <v>64</v>
      </c>
    </row>
    <row r="164" spans="1:5" ht="16.5">
      <c r="A164" s="2" t="s">
        <v>585</v>
      </c>
      <c r="B164" s="5" t="s">
        <v>148</v>
      </c>
      <c r="C164" s="2">
        <v>3</v>
      </c>
      <c r="D164" s="5" t="s">
        <v>56</v>
      </c>
      <c r="E164" s="2" t="s">
        <v>64</v>
      </c>
    </row>
    <row r="165" spans="1:5" ht="16.5">
      <c r="A165" s="2" t="s">
        <v>585</v>
      </c>
      <c r="B165" s="5" t="s">
        <v>35</v>
      </c>
      <c r="C165" s="2">
        <v>4</v>
      </c>
      <c r="D165" s="5" t="s">
        <v>288</v>
      </c>
      <c r="E165" s="2" t="s">
        <v>64</v>
      </c>
    </row>
    <row r="166" spans="1:5" ht="16.5">
      <c r="A166" s="2" t="s">
        <v>585</v>
      </c>
      <c r="B166" s="5" t="s">
        <v>37</v>
      </c>
      <c r="C166" s="2">
        <v>1</v>
      </c>
      <c r="D166" s="5" t="s">
        <v>593</v>
      </c>
      <c r="E166" s="2" t="s">
        <v>64</v>
      </c>
    </row>
    <row r="167" spans="1:5" ht="16.5">
      <c r="A167" s="2" t="s">
        <v>585</v>
      </c>
      <c r="B167" s="5" t="s">
        <v>38</v>
      </c>
      <c r="C167" s="2">
        <v>1</v>
      </c>
      <c r="D167" s="5" t="s">
        <v>51</v>
      </c>
      <c r="E167" s="2" t="s">
        <v>64</v>
      </c>
    </row>
    <row r="168" spans="1:5">
      <c r="A168" s="2" t="s">
        <v>585</v>
      </c>
      <c r="B168" s="2" t="s">
        <v>47</v>
      </c>
      <c r="C168" s="2">
        <v>1</v>
      </c>
      <c r="D168" s="2" t="s">
        <v>103</v>
      </c>
      <c r="E168" s="2" t="s">
        <v>64</v>
      </c>
    </row>
    <row r="169" spans="1:5" ht="16.5">
      <c r="A169" s="2" t="s">
        <v>585</v>
      </c>
      <c r="B169" s="5" t="s">
        <v>55</v>
      </c>
      <c r="C169" s="2">
        <v>3</v>
      </c>
      <c r="D169" s="5" t="s">
        <v>473</v>
      </c>
      <c r="E169" s="2" t="s">
        <v>64</v>
      </c>
    </row>
    <row r="170" spans="1:5" ht="16.5">
      <c r="A170" s="2" t="s">
        <v>585</v>
      </c>
      <c r="B170" s="5" t="s">
        <v>40</v>
      </c>
      <c r="C170" s="2">
        <v>1</v>
      </c>
      <c r="D170" s="5" t="s">
        <v>20</v>
      </c>
      <c r="E170" s="2" t="s">
        <v>64</v>
      </c>
    </row>
    <row r="171" spans="1:5" ht="16.5">
      <c r="A171" s="2" t="s">
        <v>585</v>
      </c>
      <c r="B171" s="5" t="s">
        <v>149</v>
      </c>
      <c r="C171" s="2">
        <v>1</v>
      </c>
      <c r="D171" s="5" t="s">
        <v>48</v>
      </c>
      <c r="E171" s="2" t="s">
        <v>64</v>
      </c>
    </row>
    <row r="172" spans="1:5" ht="16.5">
      <c r="A172" s="2" t="s">
        <v>585</v>
      </c>
      <c r="B172" s="5" t="s">
        <v>107</v>
      </c>
      <c r="C172" s="2">
        <v>1</v>
      </c>
      <c r="D172" s="5" t="s">
        <v>297</v>
      </c>
      <c r="E172" s="2" t="s">
        <v>64</v>
      </c>
    </row>
    <row r="173" spans="1:5" ht="16.5">
      <c r="A173" s="2" t="s">
        <v>585</v>
      </c>
      <c r="B173" s="5" t="s">
        <v>41</v>
      </c>
      <c r="C173" s="2">
        <v>1</v>
      </c>
      <c r="D173" s="5" t="s">
        <v>14</v>
      </c>
      <c r="E173" s="2" t="s">
        <v>64</v>
      </c>
    </row>
    <row r="174" spans="1:5" ht="16.5">
      <c r="A174" s="2" t="s">
        <v>585</v>
      </c>
      <c r="B174" s="5" t="s">
        <v>42</v>
      </c>
      <c r="C174" s="2">
        <v>1</v>
      </c>
      <c r="D174" s="5" t="s">
        <v>49</v>
      </c>
      <c r="E174" s="2" t="s">
        <v>64</v>
      </c>
    </row>
    <row r="175" spans="1:5" ht="16.5">
      <c r="A175" s="2" t="s">
        <v>585</v>
      </c>
      <c r="B175" s="5" t="s">
        <v>43</v>
      </c>
      <c r="C175" s="2">
        <v>1</v>
      </c>
      <c r="D175" s="5" t="s">
        <v>95</v>
      </c>
      <c r="E175" s="2" t="s">
        <v>64</v>
      </c>
    </row>
    <row r="176" spans="1:5" ht="16.5">
      <c r="A176" s="2" t="s">
        <v>585</v>
      </c>
      <c r="B176" s="5" t="s">
        <v>150</v>
      </c>
      <c r="C176" s="2">
        <v>1</v>
      </c>
      <c r="D176" s="5" t="s">
        <v>100</v>
      </c>
      <c r="E176" s="2" t="s">
        <v>64</v>
      </c>
    </row>
    <row r="177" spans="1:5" ht="16.5">
      <c r="A177" s="2" t="s">
        <v>585</v>
      </c>
      <c r="B177" s="5" t="s">
        <v>233</v>
      </c>
      <c r="C177" s="2">
        <v>1</v>
      </c>
      <c r="D177" s="5" t="s">
        <v>579</v>
      </c>
      <c r="E177" s="2" t="s">
        <v>64</v>
      </c>
    </row>
    <row r="178" spans="1:5" ht="16.5">
      <c r="A178" s="2" t="s">
        <v>585</v>
      </c>
      <c r="B178" s="5" t="s">
        <v>265</v>
      </c>
      <c r="C178" s="2">
        <v>1</v>
      </c>
      <c r="D178" s="5" t="s">
        <v>174</v>
      </c>
      <c r="E178" s="2" t="s">
        <v>64</v>
      </c>
    </row>
    <row r="179" spans="1:5" ht="16.5">
      <c r="A179" s="2" t="s">
        <v>585</v>
      </c>
      <c r="B179" s="5" t="s">
        <v>39</v>
      </c>
      <c r="C179" s="2">
        <v>2</v>
      </c>
      <c r="D179" s="5" t="s">
        <v>180</v>
      </c>
      <c r="E179" s="2" t="s">
        <v>64</v>
      </c>
    </row>
    <row r="180" spans="1:5" ht="16.5">
      <c r="A180" s="2" t="s">
        <v>585</v>
      </c>
      <c r="B180" s="5" t="s">
        <v>39</v>
      </c>
      <c r="C180" s="2">
        <v>1</v>
      </c>
      <c r="D180" s="5" t="s">
        <v>402</v>
      </c>
      <c r="E180" s="2" t="s">
        <v>200</v>
      </c>
    </row>
    <row r="181" spans="1:5" ht="16.5">
      <c r="A181" s="2" t="s">
        <v>585</v>
      </c>
      <c r="B181" s="5" t="s">
        <v>222</v>
      </c>
      <c r="C181" s="2">
        <v>1</v>
      </c>
      <c r="D181" s="5" t="s">
        <v>473</v>
      </c>
      <c r="E181" s="2" t="s">
        <v>64</v>
      </c>
    </row>
    <row r="182" spans="1:5" ht="16.5">
      <c r="A182" s="2" t="s">
        <v>585</v>
      </c>
      <c r="B182" s="5" t="s">
        <v>151</v>
      </c>
      <c r="C182" s="2">
        <v>1</v>
      </c>
      <c r="D182" s="5" t="s">
        <v>56</v>
      </c>
      <c r="E182" s="2" t="s">
        <v>64</v>
      </c>
    </row>
    <row r="183" spans="1:5" ht="16.5">
      <c r="A183" s="2" t="s">
        <v>585</v>
      </c>
      <c r="B183" s="5" t="s">
        <v>224</v>
      </c>
      <c r="C183" s="2">
        <v>1</v>
      </c>
      <c r="D183" s="5" t="s">
        <v>593</v>
      </c>
      <c r="E183" s="2" t="s">
        <v>64</v>
      </c>
    </row>
    <row r="184" spans="1:5" ht="16.5">
      <c r="A184" s="2" t="s">
        <v>585</v>
      </c>
      <c r="B184" s="183" t="s">
        <v>436</v>
      </c>
      <c r="C184" s="2">
        <v>1</v>
      </c>
      <c r="D184" s="5" t="s">
        <v>20</v>
      </c>
      <c r="E184" s="2" t="s">
        <v>64</v>
      </c>
    </row>
    <row r="185" spans="1:5" ht="16.5">
      <c r="A185" s="2" t="s">
        <v>585</v>
      </c>
      <c r="B185" s="5" t="s">
        <v>279</v>
      </c>
      <c r="C185" s="2">
        <v>3</v>
      </c>
      <c r="D185" s="5" t="s">
        <v>402</v>
      </c>
      <c r="E185" s="2" t="s">
        <v>200</v>
      </c>
    </row>
    <row r="186" spans="1:5" ht="16.5">
      <c r="A186" s="2" t="s">
        <v>585</v>
      </c>
      <c r="B186" s="183" t="s">
        <v>281</v>
      </c>
      <c r="C186" s="2">
        <v>2</v>
      </c>
      <c r="D186" s="5" t="s">
        <v>402</v>
      </c>
      <c r="E186" s="2" t="s">
        <v>200</v>
      </c>
    </row>
    <row r="187" spans="1:5" ht="33">
      <c r="A187" s="2" t="s">
        <v>585</v>
      </c>
      <c r="B187" s="183" t="s">
        <v>586</v>
      </c>
      <c r="C187" s="2">
        <v>1</v>
      </c>
      <c r="D187" s="5" t="s">
        <v>402</v>
      </c>
      <c r="E187" s="2" t="s">
        <v>200</v>
      </c>
    </row>
    <row r="188" spans="1:5" ht="16.5">
      <c r="A188" s="2" t="s">
        <v>587</v>
      </c>
      <c r="B188" s="5" t="s">
        <v>232</v>
      </c>
      <c r="C188" s="2">
        <v>1</v>
      </c>
      <c r="D188" s="5" t="s">
        <v>473</v>
      </c>
      <c r="E188" s="2" t="s">
        <v>64</v>
      </c>
    </row>
    <row r="189" spans="1:5" ht="16.5">
      <c r="A189" s="2" t="s">
        <v>587</v>
      </c>
      <c r="B189" s="5" t="s">
        <v>71</v>
      </c>
      <c r="C189" s="2">
        <v>1</v>
      </c>
      <c r="D189" s="5" t="s">
        <v>380</v>
      </c>
      <c r="E189" s="2" t="s">
        <v>64</v>
      </c>
    </row>
    <row r="190" spans="1:5" ht="16.5">
      <c r="A190" s="2" t="s">
        <v>587</v>
      </c>
      <c r="B190" s="5" t="s">
        <v>33</v>
      </c>
      <c r="C190" s="2">
        <v>5</v>
      </c>
      <c r="D190" s="5" t="s">
        <v>471</v>
      </c>
      <c r="E190" s="2" t="s">
        <v>64</v>
      </c>
    </row>
    <row r="191" spans="1:5" ht="16.5">
      <c r="A191" s="2" t="s">
        <v>587</v>
      </c>
      <c r="B191" s="5" t="s">
        <v>148</v>
      </c>
      <c r="C191" s="2">
        <v>3</v>
      </c>
      <c r="D191" s="5" t="s">
        <v>56</v>
      </c>
      <c r="E191" s="2" t="s">
        <v>64</v>
      </c>
    </row>
    <row r="192" spans="1:5" ht="16.5">
      <c r="A192" s="2" t="s">
        <v>587</v>
      </c>
      <c r="B192" s="5" t="s">
        <v>35</v>
      </c>
      <c r="C192" s="2">
        <v>4</v>
      </c>
      <c r="D192" s="5" t="s">
        <v>288</v>
      </c>
      <c r="E192" s="2" t="s">
        <v>64</v>
      </c>
    </row>
    <row r="193" spans="1:5" ht="16.5">
      <c r="A193" s="2" t="s">
        <v>587</v>
      </c>
      <c r="B193" s="5" t="s">
        <v>37</v>
      </c>
      <c r="C193" s="2">
        <v>1</v>
      </c>
      <c r="D193" s="5" t="s">
        <v>593</v>
      </c>
      <c r="E193" s="2" t="s">
        <v>64</v>
      </c>
    </row>
    <row r="194" spans="1:5" ht="16.5">
      <c r="A194" s="2" t="s">
        <v>587</v>
      </c>
      <c r="B194" s="5" t="s">
        <v>38</v>
      </c>
      <c r="C194" s="2">
        <v>1</v>
      </c>
      <c r="D194" s="5" t="s">
        <v>51</v>
      </c>
      <c r="E194" s="2" t="s">
        <v>64</v>
      </c>
    </row>
    <row r="195" spans="1:5" ht="16.5">
      <c r="A195" s="2" t="s">
        <v>587</v>
      </c>
      <c r="B195" s="5" t="s">
        <v>47</v>
      </c>
      <c r="C195" s="2">
        <v>1</v>
      </c>
      <c r="D195" s="5" t="s">
        <v>103</v>
      </c>
      <c r="E195" s="2" t="s">
        <v>64</v>
      </c>
    </row>
    <row r="196" spans="1:5" ht="16.5">
      <c r="A196" s="2" t="s">
        <v>587</v>
      </c>
      <c r="B196" s="5" t="s">
        <v>55</v>
      </c>
      <c r="C196" s="2">
        <v>3</v>
      </c>
      <c r="D196" s="5" t="s">
        <v>473</v>
      </c>
      <c r="E196" s="2" t="s">
        <v>64</v>
      </c>
    </row>
    <row r="197" spans="1:5" ht="16.5">
      <c r="A197" s="2" t="s">
        <v>587</v>
      </c>
      <c r="B197" s="5" t="s">
        <v>40</v>
      </c>
      <c r="C197" s="2">
        <v>1</v>
      </c>
      <c r="D197" s="5" t="s">
        <v>20</v>
      </c>
      <c r="E197" s="2" t="s">
        <v>64</v>
      </c>
    </row>
    <row r="198" spans="1:5" ht="16.5">
      <c r="A198" s="2" t="s">
        <v>587</v>
      </c>
      <c r="B198" s="5" t="s">
        <v>149</v>
      </c>
      <c r="C198" s="2">
        <v>1</v>
      </c>
      <c r="D198" s="5" t="s">
        <v>48</v>
      </c>
      <c r="E198" s="2" t="s">
        <v>64</v>
      </c>
    </row>
    <row r="199" spans="1:5">
      <c r="A199" s="2" t="s">
        <v>587</v>
      </c>
      <c r="B199" s="2" t="s">
        <v>107</v>
      </c>
      <c r="C199" s="2">
        <v>1</v>
      </c>
      <c r="D199" s="2" t="s">
        <v>297</v>
      </c>
      <c r="E199" s="2" t="s">
        <v>64</v>
      </c>
    </row>
    <row r="200" spans="1:5">
      <c r="A200" s="2" t="s">
        <v>587</v>
      </c>
      <c r="B200" s="2" t="s">
        <v>41</v>
      </c>
      <c r="C200" s="2">
        <v>1</v>
      </c>
      <c r="D200" s="2" t="s">
        <v>14</v>
      </c>
      <c r="E200" s="2" t="s">
        <v>64</v>
      </c>
    </row>
    <row r="201" spans="1:5">
      <c r="A201" s="2" t="s">
        <v>587</v>
      </c>
      <c r="B201" s="2" t="s">
        <v>42</v>
      </c>
      <c r="C201" s="2">
        <v>1</v>
      </c>
      <c r="D201" s="2" t="s">
        <v>49</v>
      </c>
      <c r="E201" s="2" t="s">
        <v>64</v>
      </c>
    </row>
    <row r="202" spans="1:5" ht="16.5">
      <c r="A202" s="2" t="s">
        <v>587</v>
      </c>
      <c r="B202" s="5" t="s">
        <v>43</v>
      </c>
      <c r="C202" s="2">
        <v>1</v>
      </c>
      <c r="D202" s="5" t="s">
        <v>95</v>
      </c>
      <c r="E202" s="2" t="s">
        <v>64</v>
      </c>
    </row>
    <row r="203" spans="1:5" ht="16.5">
      <c r="A203" s="2" t="s">
        <v>587</v>
      </c>
      <c r="B203" s="5" t="s">
        <v>150</v>
      </c>
      <c r="C203" s="2">
        <v>1</v>
      </c>
      <c r="D203" s="5" t="s">
        <v>100</v>
      </c>
      <c r="E203" s="2" t="s">
        <v>64</v>
      </c>
    </row>
    <row r="204" spans="1:5" ht="16.5">
      <c r="A204" s="2" t="s">
        <v>587</v>
      </c>
      <c r="B204" s="5" t="s">
        <v>233</v>
      </c>
      <c r="C204" s="2">
        <v>1</v>
      </c>
      <c r="D204" s="5" t="s">
        <v>579</v>
      </c>
      <c r="E204" s="2" t="s">
        <v>64</v>
      </c>
    </row>
    <row r="205" spans="1:5" ht="16.5">
      <c r="A205" s="2" t="s">
        <v>587</v>
      </c>
      <c r="B205" s="5" t="s">
        <v>265</v>
      </c>
      <c r="C205" s="2">
        <v>1</v>
      </c>
      <c r="D205" s="5" t="s">
        <v>174</v>
      </c>
      <c r="E205" s="2" t="s">
        <v>64</v>
      </c>
    </row>
    <row r="206" spans="1:5" ht="16.5">
      <c r="A206" s="2" t="s">
        <v>587</v>
      </c>
      <c r="B206" s="5" t="s">
        <v>39</v>
      </c>
      <c r="C206" s="2">
        <v>2</v>
      </c>
      <c r="D206" s="5" t="s">
        <v>180</v>
      </c>
      <c r="E206" s="2" t="s">
        <v>64</v>
      </c>
    </row>
    <row r="207" spans="1:5" ht="16.5">
      <c r="A207" s="2" t="s">
        <v>587</v>
      </c>
      <c r="B207" s="5" t="s">
        <v>39</v>
      </c>
      <c r="C207" s="2">
        <v>1</v>
      </c>
      <c r="D207" s="5" t="s">
        <v>402</v>
      </c>
      <c r="E207" s="2" t="s">
        <v>200</v>
      </c>
    </row>
    <row r="208" spans="1:5" ht="16.5">
      <c r="A208" s="2" t="s">
        <v>587</v>
      </c>
      <c r="B208" s="5" t="s">
        <v>222</v>
      </c>
      <c r="C208" s="2">
        <v>1</v>
      </c>
      <c r="D208" s="5" t="s">
        <v>473</v>
      </c>
      <c r="E208" s="2" t="s">
        <v>64</v>
      </c>
    </row>
    <row r="209" spans="1:5" ht="16.5">
      <c r="A209" s="2" t="s">
        <v>587</v>
      </c>
      <c r="B209" s="5" t="s">
        <v>151</v>
      </c>
      <c r="C209" s="2">
        <v>1</v>
      </c>
      <c r="D209" s="5" t="s">
        <v>56</v>
      </c>
      <c r="E209" s="2" t="s">
        <v>64</v>
      </c>
    </row>
    <row r="210" spans="1:5" ht="16.5">
      <c r="A210" s="2" t="s">
        <v>587</v>
      </c>
      <c r="B210" s="5" t="s">
        <v>224</v>
      </c>
      <c r="C210" s="2">
        <v>1</v>
      </c>
      <c r="D210" s="5" t="s">
        <v>593</v>
      </c>
      <c r="E210" s="2" t="s">
        <v>64</v>
      </c>
    </row>
    <row r="211" spans="1:5" ht="16.5">
      <c r="A211" s="2" t="s">
        <v>587</v>
      </c>
      <c r="B211" s="183" t="s">
        <v>436</v>
      </c>
      <c r="C211" s="2">
        <v>1</v>
      </c>
      <c r="D211" s="5" t="s">
        <v>473</v>
      </c>
      <c r="E211" s="2" t="s">
        <v>64</v>
      </c>
    </row>
    <row r="212" spans="1:5" ht="16.5">
      <c r="A212" s="2" t="s">
        <v>587</v>
      </c>
      <c r="B212" s="5" t="s">
        <v>279</v>
      </c>
      <c r="C212" s="2">
        <v>3</v>
      </c>
      <c r="D212" s="5" t="s">
        <v>402</v>
      </c>
      <c r="E212" s="2" t="s">
        <v>200</v>
      </c>
    </row>
    <row r="213" spans="1:5" ht="16.5">
      <c r="A213" s="2" t="s">
        <v>587</v>
      </c>
      <c r="B213" s="183" t="s">
        <v>281</v>
      </c>
      <c r="C213" s="2">
        <v>2</v>
      </c>
      <c r="D213" s="5" t="s">
        <v>402</v>
      </c>
      <c r="E213" s="2" t="s">
        <v>200</v>
      </c>
    </row>
    <row r="214" spans="1:5" ht="33">
      <c r="A214" s="2" t="s">
        <v>587</v>
      </c>
      <c r="B214" s="183" t="s">
        <v>586</v>
      </c>
      <c r="C214" s="2">
        <v>1</v>
      </c>
      <c r="D214" s="5" t="s">
        <v>402</v>
      </c>
      <c r="E214" s="2" t="s">
        <v>200</v>
      </c>
    </row>
    <row r="215" spans="1:5" ht="16.5">
      <c r="A215" s="2" t="s">
        <v>588</v>
      </c>
      <c r="B215" s="5" t="s">
        <v>232</v>
      </c>
      <c r="C215" s="2">
        <v>1</v>
      </c>
      <c r="D215" s="5" t="s">
        <v>327</v>
      </c>
      <c r="E215" s="2" t="s">
        <v>64</v>
      </c>
    </row>
    <row r="216" spans="1:5" ht="16.5">
      <c r="A216" s="2" t="s">
        <v>588</v>
      </c>
      <c r="B216" s="5" t="s">
        <v>71</v>
      </c>
      <c r="C216" s="2">
        <v>1</v>
      </c>
      <c r="D216" s="5" t="s">
        <v>394</v>
      </c>
      <c r="E216" s="2" t="s">
        <v>64</v>
      </c>
    </row>
    <row r="217" spans="1:5" ht="16.5">
      <c r="A217" s="2" t="s">
        <v>588</v>
      </c>
      <c r="B217" s="5" t="s">
        <v>33</v>
      </c>
      <c r="C217" s="2">
        <v>5</v>
      </c>
      <c r="D217" s="5" t="s">
        <v>485</v>
      </c>
      <c r="E217" s="2" t="s">
        <v>64</v>
      </c>
    </row>
    <row r="218" spans="1:5" ht="16.5">
      <c r="A218" s="2" t="s">
        <v>588</v>
      </c>
      <c r="B218" s="5" t="s">
        <v>148</v>
      </c>
      <c r="C218" s="2">
        <v>3</v>
      </c>
      <c r="D218" s="5" t="s">
        <v>483</v>
      </c>
      <c r="E218" s="2" t="s">
        <v>64</v>
      </c>
    </row>
    <row r="219" spans="1:5" ht="16.5">
      <c r="A219" s="2" t="s">
        <v>588</v>
      </c>
      <c r="B219" s="5" t="s">
        <v>35</v>
      </c>
      <c r="C219" s="2">
        <v>4</v>
      </c>
      <c r="D219" s="5" t="s">
        <v>288</v>
      </c>
      <c r="E219" s="2" t="s">
        <v>64</v>
      </c>
    </row>
    <row r="220" spans="1:5">
      <c r="A220" s="2" t="s">
        <v>588</v>
      </c>
      <c r="B220" s="2" t="s">
        <v>37</v>
      </c>
      <c r="C220" s="2">
        <v>1</v>
      </c>
      <c r="D220" s="2" t="s">
        <v>593</v>
      </c>
      <c r="E220" s="2" t="s">
        <v>64</v>
      </c>
    </row>
    <row r="221" spans="1:5" ht="16.5">
      <c r="A221" s="2" t="s">
        <v>588</v>
      </c>
      <c r="B221" s="5" t="s">
        <v>38</v>
      </c>
      <c r="C221" s="2">
        <v>1</v>
      </c>
      <c r="D221" s="5" t="s">
        <v>51</v>
      </c>
      <c r="E221" s="2" t="s">
        <v>64</v>
      </c>
    </row>
    <row r="222" spans="1:5" ht="16.5">
      <c r="A222" s="2" t="s">
        <v>588</v>
      </c>
      <c r="B222" s="5" t="s">
        <v>47</v>
      </c>
      <c r="C222" s="2">
        <v>1</v>
      </c>
      <c r="D222" s="5" t="s">
        <v>103</v>
      </c>
      <c r="E222" s="2" t="s">
        <v>64</v>
      </c>
    </row>
    <row r="223" spans="1:5" ht="16.5">
      <c r="A223" s="2" t="s">
        <v>588</v>
      </c>
      <c r="B223" s="5" t="s">
        <v>55</v>
      </c>
      <c r="C223" s="2">
        <v>3</v>
      </c>
      <c r="D223" s="5" t="s">
        <v>226</v>
      </c>
      <c r="E223" s="2" t="s">
        <v>64</v>
      </c>
    </row>
    <row r="224" spans="1:5" ht="16.5">
      <c r="A224" s="2" t="s">
        <v>588</v>
      </c>
      <c r="B224" s="5" t="s">
        <v>40</v>
      </c>
      <c r="C224" s="2">
        <v>1</v>
      </c>
      <c r="D224" s="5" t="s">
        <v>402</v>
      </c>
      <c r="E224" s="2" t="s">
        <v>200</v>
      </c>
    </row>
    <row r="225" spans="1:5" ht="16.5">
      <c r="A225" s="2" t="s">
        <v>588</v>
      </c>
      <c r="B225" s="5" t="s">
        <v>149</v>
      </c>
      <c r="C225" s="2">
        <v>1</v>
      </c>
      <c r="D225" s="5" t="s">
        <v>48</v>
      </c>
      <c r="E225" s="2" t="s">
        <v>64</v>
      </c>
    </row>
    <row r="226" spans="1:5" ht="16.5">
      <c r="A226" s="2" t="s">
        <v>588</v>
      </c>
      <c r="B226" s="5" t="s">
        <v>107</v>
      </c>
      <c r="C226" s="2">
        <v>1</v>
      </c>
      <c r="D226" s="5" t="s">
        <v>297</v>
      </c>
      <c r="E226" s="2" t="s">
        <v>64</v>
      </c>
    </row>
    <row r="227" spans="1:5" ht="16.5">
      <c r="A227" s="2" t="s">
        <v>588</v>
      </c>
      <c r="B227" s="5" t="s">
        <v>41</v>
      </c>
      <c r="C227" s="2">
        <v>1</v>
      </c>
      <c r="D227" s="5" t="s">
        <v>14</v>
      </c>
      <c r="E227" s="2" t="s">
        <v>64</v>
      </c>
    </row>
    <row r="228" spans="1:5" ht="16.5">
      <c r="A228" s="2" t="s">
        <v>588</v>
      </c>
      <c r="B228" s="5" t="s">
        <v>42</v>
      </c>
      <c r="C228" s="2">
        <v>1</v>
      </c>
      <c r="D228" s="5" t="s">
        <v>402</v>
      </c>
      <c r="E228" s="2" t="s">
        <v>200</v>
      </c>
    </row>
    <row r="229" spans="1:5" ht="16.5">
      <c r="A229" s="2" t="s">
        <v>588</v>
      </c>
      <c r="B229" s="5" t="s">
        <v>43</v>
      </c>
      <c r="C229" s="2">
        <v>1</v>
      </c>
      <c r="D229" s="5" t="s">
        <v>95</v>
      </c>
      <c r="E229" s="2" t="s">
        <v>64</v>
      </c>
    </row>
    <row r="230" spans="1:5" ht="16.5">
      <c r="A230" s="2" t="s">
        <v>588</v>
      </c>
      <c r="B230" s="5" t="s">
        <v>150</v>
      </c>
      <c r="C230" s="2">
        <v>1</v>
      </c>
      <c r="D230" s="5" t="s">
        <v>100</v>
      </c>
      <c r="E230" s="2" t="s">
        <v>64</v>
      </c>
    </row>
    <row r="231" spans="1:5" ht="16.5">
      <c r="A231" s="2" t="s">
        <v>588</v>
      </c>
      <c r="B231" s="5" t="s">
        <v>233</v>
      </c>
      <c r="C231" s="2">
        <v>1</v>
      </c>
      <c r="D231" s="5" t="s">
        <v>402</v>
      </c>
      <c r="E231" s="2" t="s">
        <v>200</v>
      </c>
    </row>
    <row r="232" spans="1:5" ht="16.5">
      <c r="A232" s="2" t="s">
        <v>588</v>
      </c>
      <c r="B232" s="5" t="s">
        <v>265</v>
      </c>
      <c r="C232" s="2">
        <v>1</v>
      </c>
      <c r="D232" s="5" t="s">
        <v>174</v>
      </c>
      <c r="E232" s="2" t="s">
        <v>64</v>
      </c>
    </row>
    <row r="233" spans="1:5" ht="16.5">
      <c r="A233" s="2" t="s">
        <v>588</v>
      </c>
      <c r="B233" s="5" t="s">
        <v>39</v>
      </c>
      <c r="C233" s="2">
        <v>1</v>
      </c>
      <c r="D233" s="5" t="s">
        <v>327</v>
      </c>
      <c r="E233" s="2" t="s">
        <v>64</v>
      </c>
    </row>
    <row r="234" spans="1:5" ht="16.5">
      <c r="A234" s="2" t="s">
        <v>588</v>
      </c>
      <c r="B234" s="5" t="s">
        <v>222</v>
      </c>
      <c r="C234" s="2">
        <v>1</v>
      </c>
      <c r="D234" s="5" t="s">
        <v>226</v>
      </c>
      <c r="E234" s="2" t="s">
        <v>64</v>
      </c>
    </row>
    <row r="235" spans="1:5" ht="16.5">
      <c r="A235" s="2" t="s">
        <v>588</v>
      </c>
      <c r="B235" s="5" t="s">
        <v>151</v>
      </c>
      <c r="C235" s="2">
        <v>1</v>
      </c>
      <c r="D235" s="5" t="s">
        <v>483</v>
      </c>
      <c r="E235" s="2" t="s">
        <v>64</v>
      </c>
    </row>
    <row r="236" spans="1:5" ht="16.5">
      <c r="A236" s="2" t="s">
        <v>588</v>
      </c>
      <c r="B236" s="5" t="s">
        <v>279</v>
      </c>
      <c r="C236" s="2">
        <v>3</v>
      </c>
      <c r="D236" s="5" t="s">
        <v>614</v>
      </c>
      <c r="E236" s="2" t="s">
        <v>64</v>
      </c>
    </row>
    <row r="237" spans="1:5" ht="16.5">
      <c r="A237" s="2" t="s">
        <v>588</v>
      </c>
      <c r="B237" s="183" t="s">
        <v>281</v>
      </c>
      <c r="C237" s="2">
        <v>2</v>
      </c>
      <c r="D237" s="5" t="s">
        <v>280</v>
      </c>
      <c r="E237" s="2" t="s">
        <v>64</v>
      </c>
    </row>
    <row r="238" spans="1:5" ht="33">
      <c r="A238" s="2" t="s">
        <v>588</v>
      </c>
      <c r="B238" s="183" t="s">
        <v>586</v>
      </c>
      <c r="C238" s="2">
        <v>1</v>
      </c>
      <c r="D238" s="5" t="s">
        <v>375</v>
      </c>
      <c r="E238" s="2" t="s">
        <v>64</v>
      </c>
    </row>
    <row r="239" spans="1:5" ht="16.5">
      <c r="B239" s="5"/>
      <c r="D239" s="5"/>
    </row>
    <row r="240" spans="1:5" ht="16.5">
      <c r="B240" s="5"/>
      <c r="D240" s="5"/>
    </row>
    <row r="241" spans="2:4" ht="16.5">
      <c r="B241" s="5"/>
      <c r="D241" s="5"/>
    </row>
    <row r="242" spans="2:4" ht="16.5">
      <c r="B242" s="5"/>
      <c r="D242" s="5"/>
    </row>
    <row r="243" spans="2:4" ht="16.5">
      <c r="B243" s="5"/>
      <c r="D243" s="5"/>
    </row>
    <row r="244" spans="2:4" ht="16.5">
      <c r="B244" s="5"/>
      <c r="D244" s="5"/>
    </row>
    <row r="245" spans="2:4" ht="16.5">
      <c r="B245" s="5"/>
      <c r="D245" s="5"/>
    </row>
    <row r="246" spans="2:4" ht="16.5">
      <c r="B246" s="5"/>
      <c r="D246" s="5"/>
    </row>
    <row r="247" spans="2:4" ht="16.5">
      <c r="B247" s="5"/>
      <c r="D247" s="5"/>
    </row>
    <row r="248" spans="2:4" ht="16.5">
      <c r="B248" s="5"/>
      <c r="D248" s="5"/>
    </row>
    <row r="249" spans="2:4" ht="16.5">
      <c r="B249" s="5"/>
      <c r="D249" s="5"/>
    </row>
    <row r="250" spans="2:4" ht="16.5">
      <c r="B250" s="5"/>
      <c r="D250" s="5"/>
    </row>
    <row r="251" spans="2:4" ht="16.5">
      <c r="B251" s="5"/>
      <c r="D251" s="5"/>
    </row>
    <row r="252" spans="2:4" ht="16.5">
      <c r="B252" s="5"/>
      <c r="D252" s="5"/>
    </row>
    <row r="253" spans="2:4" ht="16.5">
      <c r="B253" s="5"/>
      <c r="D253" s="5"/>
    </row>
    <row r="254" spans="2:4" ht="16.5">
      <c r="B254" s="5"/>
      <c r="D254" s="5"/>
    </row>
    <row r="255" spans="2:4" ht="16.5">
      <c r="B255" s="5"/>
      <c r="D255" s="5"/>
    </row>
    <row r="256" spans="2:4" ht="16.5">
      <c r="B256" s="5"/>
      <c r="D256" s="5"/>
    </row>
    <row r="257" spans="2:4" ht="16.5">
      <c r="B257" s="5"/>
      <c r="D257" s="5"/>
    </row>
    <row r="258" spans="2:4" ht="16.5">
      <c r="B258" s="5"/>
      <c r="D258" s="5"/>
    </row>
    <row r="259" spans="2:4" ht="16.5">
      <c r="B259" s="5"/>
      <c r="D259" s="5"/>
    </row>
    <row r="260" spans="2:4" ht="16.5">
      <c r="B260" s="5"/>
      <c r="D260" s="5"/>
    </row>
    <row r="261" spans="2:4" ht="16.5">
      <c r="B261" s="5"/>
      <c r="D261" s="5"/>
    </row>
    <row r="262" spans="2:4" ht="16.5">
      <c r="B262" s="5"/>
      <c r="D262" s="5"/>
    </row>
    <row r="263" spans="2:4" ht="16.5">
      <c r="B263" s="5"/>
      <c r="D263" s="5"/>
    </row>
    <row r="264" spans="2:4" ht="16.5">
      <c r="B264" s="5"/>
      <c r="D264" s="5"/>
    </row>
    <row r="265" spans="2:4" ht="16.5">
      <c r="B265" s="5"/>
      <c r="D265" s="5"/>
    </row>
    <row r="266" spans="2:4" ht="16.5">
      <c r="B266" s="5"/>
      <c r="D266" s="5"/>
    </row>
    <row r="267" spans="2:4" ht="16.5">
      <c r="B267" s="5"/>
      <c r="D267" s="5"/>
    </row>
    <row r="268" spans="2:4" ht="16.5">
      <c r="B268" s="5"/>
      <c r="D268" s="5"/>
    </row>
    <row r="269" spans="2:4" ht="16.5">
      <c r="B269" s="5"/>
      <c r="D269" s="5"/>
    </row>
    <row r="270" spans="2:4" ht="16.5">
      <c r="B270" s="5"/>
      <c r="D270" s="5"/>
    </row>
    <row r="271" spans="2:4" ht="16.5">
      <c r="B271" s="5"/>
      <c r="D271" s="5"/>
    </row>
    <row r="272" spans="2:4" ht="16.5">
      <c r="B272" s="5"/>
      <c r="D272" s="5"/>
    </row>
    <row r="273" spans="2:4" ht="16.5">
      <c r="B273" s="5"/>
      <c r="D273" s="5"/>
    </row>
    <row r="274" spans="2:4" ht="16.5">
      <c r="B274" s="5"/>
      <c r="D274" s="5"/>
    </row>
    <row r="275" spans="2:4" ht="16.5">
      <c r="B275" s="5"/>
      <c r="D275" s="5"/>
    </row>
    <row r="276" spans="2:4" ht="16.5">
      <c r="B276" s="5"/>
      <c r="D276" s="5"/>
    </row>
    <row r="277" spans="2:4" ht="16.5">
      <c r="B277" s="5"/>
      <c r="D277" s="5"/>
    </row>
    <row r="278" spans="2:4" ht="16.5">
      <c r="B278" s="5"/>
      <c r="D278" s="5"/>
    </row>
    <row r="279" spans="2:4" ht="16.5">
      <c r="B279" s="5"/>
      <c r="D279" s="5"/>
    </row>
    <row r="280" spans="2:4" ht="16.5">
      <c r="B280" s="5"/>
      <c r="D280" s="5"/>
    </row>
    <row r="281" spans="2:4" ht="16.5">
      <c r="B281" s="5"/>
      <c r="D281" s="5"/>
    </row>
    <row r="282" spans="2:4" ht="16.5">
      <c r="B282" s="5"/>
      <c r="D282" s="5"/>
    </row>
    <row r="283" spans="2:4" ht="16.5">
      <c r="B283" s="5"/>
      <c r="D283" s="5"/>
    </row>
    <row r="284" spans="2:4" ht="16.5">
      <c r="B284" s="5"/>
      <c r="D284" s="5"/>
    </row>
    <row r="285" spans="2:4" ht="16.5">
      <c r="B285" s="5"/>
      <c r="D285" s="5"/>
    </row>
    <row r="286" spans="2:4" ht="16.5">
      <c r="B286" s="5"/>
      <c r="D286" s="5"/>
    </row>
    <row r="287" spans="2:4" ht="16.5">
      <c r="B287" s="5"/>
      <c r="D287" s="5"/>
    </row>
    <row r="288" spans="2:4" ht="16.5">
      <c r="B288" s="5"/>
      <c r="D288" s="5"/>
    </row>
    <row r="289" spans="2:4" ht="16.5">
      <c r="B289" s="5"/>
      <c r="D289" s="5"/>
    </row>
    <row r="290" spans="2:4" ht="16.5">
      <c r="B290" s="5"/>
      <c r="D290" s="5"/>
    </row>
    <row r="291" spans="2:4" ht="16.5">
      <c r="B291" s="5"/>
      <c r="D291" s="5"/>
    </row>
    <row r="292" spans="2:4" ht="16.5">
      <c r="B292" s="5"/>
      <c r="D292" s="5"/>
    </row>
    <row r="293" spans="2:4" ht="16.5">
      <c r="B293" s="5"/>
      <c r="D293" s="5"/>
    </row>
    <row r="294" spans="2:4" ht="16.5">
      <c r="B294" s="5"/>
      <c r="D294" s="5"/>
    </row>
    <row r="296" spans="2:4" ht="16.5">
      <c r="B296" s="5"/>
      <c r="D296" s="5"/>
    </row>
    <row r="297" spans="2:4" ht="16.5">
      <c r="B297" s="5"/>
      <c r="D297" s="5"/>
    </row>
    <row r="298" spans="2:4" ht="16.5">
      <c r="B298" s="5"/>
      <c r="D298" s="5"/>
    </row>
    <row r="299" spans="2:4" ht="16.5">
      <c r="B299" s="5"/>
      <c r="D299" s="5"/>
    </row>
    <row r="300" spans="2:4" ht="16.5">
      <c r="B300" s="5"/>
      <c r="D300" s="5"/>
    </row>
    <row r="301" spans="2:4" ht="16.5">
      <c r="B301" s="5"/>
      <c r="D301" s="5"/>
    </row>
    <row r="302" spans="2:4" ht="16.5">
      <c r="B302" s="5"/>
      <c r="D302" s="5"/>
    </row>
    <row r="303" spans="2:4" ht="16.5">
      <c r="B303" s="5"/>
      <c r="D303" s="5"/>
    </row>
    <row r="304" spans="2:4" ht="16.5">
      <c r="B304" s="5"/>
      <c r="D304" s="5"/>
    </row>
    <row r="305" spans="2:4" ht="16.5">
      <c r="B305" s="5"/>
      <c r="D305" s="5"/>
    </row>
    <row r="306" spans="2:4" ht="16.5">
      <c r="B306" s="5"/>
      <c r="D306" s="5"/>
    </row>
    <row r="307" spans="2:4" ht="16.5">
      <c r="B307" s="5"/>
      <c r="D307" s="5"/>
    </row>
    <row r="308" spans="2:4" ht="16.5">
      <c r="B308" s="5"/>
      <c r="D308" s="5"/>
    </row>
    <row r="309" spans="2:4" ht="16.5">
      <c r="B309" s="5"/>
      <c r="D309" s="5"/>
    </row>
    <row r="310" spans="2:4" ht="16.5">
      <c r="B310" s="5"/>
      <c r="D310" s="5"/>
    </row>
    <row r="311" spans="2:4" ht="16.5">
      <c r="B311" s="5"/>
      <c r="D311" s="5"/>
    </row>
    <row r="312" spans="2:4" ht="16.5">
      <c r="B312" s="5"/>
      <c r="D312" s="5"/>
    </row>
    <row r="313" spans="2:4" ht="16.5">
      <c r="B313" s="5"/>
      <c r="D313" s="5"/>
    </row>
    <row r="314" spans="2:4" ht="16.5">
      <c r="B314" s="5"/>
      <c r="D314" s="5"/>
    </row>
    <row r="315" spans="2:4" ht="16.5">
      <c r="B315" s="5"/>
      <c r="D315" s="5"/>
    </row>
    <row r="316" spans="2:4" ht="16.5">
      <c r="B316" s="5"/>
      <c r="D316" s="5"/>
    </row>
    <row r="317" spans="2:4" ht="16.5">
      <c r="B317" s="5"/>
      <c r="D317" s="5"/>
    </row>
    <row r="318" spans="2:4" ht="16.5">
      <c r="B318" s="5"/>
      <c r="D318" s="5"/>
    </row>
    <row r="319" spans="2:4" ht="16.5">
      <c r="B319" s="5"/>
      <c r="D319" s="5"/>
    </row>
    <row r="320" spans="2:4" ht="16.5">
      <c r="B320" s="5"/>
      <c r="D320" s="5"/>
    </row>
    <row r="321" spans="2:4" ht="16.5">
      <c r="B321" s="5"/>
      <c r="D321" s="5"/>
    </row>
    <row r="322" spans="2:4" ht="16.5">
      <c r="B322" s="5"/>
      <c r="D322" s="5"/>
    </row>
    <row r="323" spans="2:4" ht="16.5">
      <c r="B323" s="5"/>
      <c r="D323" s="5"/>
    </row>
    <row r="324" spans="2:4" ht="16.5">
      <c r="B324" s="5"/>
      <c r="D324" s="5"/>
    </row>
    <row r="325" spans="2:4" ht="16.5">
      <c r="B325" s="5"/>
      <c r="D325" s="5"/>
    </row>
    <row r="326" spans="2:4" ht="16.5">
      <c r="B326" s="5"/>
      <c r="D326" s="5"/>
    </row>
    <row r="327" spans="2:4" ht="16.5">
      <c r="B327" s="5"/>
      <c r="D327" s="5"/>
    </row>
    <row r="328" spans="2:4" ht="16.5">
      <c r="B328" s="5"/>
      <c r="D328" s="5"/>
    </row>
    <row r="329" spans="2:4" ht="16.5">
      <c r="B329" s="5"/>
      <c r="D329" s="5"/>
    </row>
    <row r="330" spans="2:4" ht="16.5">
      <c r="B330" s="5"/>
      <c r="D330" s="5"/>
    </row>
    <row r="331" spans="2:4" ht="16.5">
      <c r="B331" s="5"/>
      <c r="D331" s="5"/>
    </row>
    <row r="332" spans="2:4" ht="16.5">
      <c r="B332" s="5"/>
      <c r="D332" s="5"/>
    </row>
    <row r="333" spans="2:4" ht="16.5">
      <c r="B333" s="5"/>
      <c r="D333" s="5"/>
    </row>
    <row r="334" spans="2:4" ht="16.5">
      <c r="B334" s="5"/>
      <c r="D334" s="5"/>
    </row>
    <row r="336" spans="2:4" ht="16.5">
      <c r="B336" s="5"/>
      <c r="D336" s="5"/>
    </row>
    <row r="337" spans="2:4" ht="16.5">
      <c r="B337" s="5"/>
      <c r="D337" s="5"/>
    </row>
    <row r="339" spans="2:4" ht="16.5">
      <c r="B339" s="5"/>
      <c r="D339" s="5"/>
    </row>
    <row r="340" spans="2:4" ht="16.5">
      <c r="B340" s="5"/>
      <c r="D340" s="5"/>
    </row>
    <row r="342" spans="2:4" ht="16.5">
      <c r="B342" s="5"/>
      <c r="D342" s="5"/>
    </row>
    <row r="343" spans="2:4" ht="16.5">
      <c r="B343" s="5"/>
      <c r="D343" s="5"/>
    </row>
    <row r="344" spans="2:4" ht="16.5">
      <c r="B344" s="5"/>
      <c r="D344" s="5"/>
    </row>
    <row r="345" spans="2:4" ht="16.5">
      <c r="B345" s="5"/>
      <c r="D345" s="5"/>
    </row>
    <row r="346" spans="2:4" ht="16.5">
      <c r="B346" s="5"/>
      <c r="D346" s="5"/>
    </row>
    <row r="347" spans="2:4" ht="16.5">
      <c r="B347" s="5"/>
      <c r="D347" s="5"/>
    </row>
    <row r="348" spans="2:4" ht="16.5">
      <c r="B348" s="5"/>
      <c r="D348" s="5"/>
    </row>
    <row r="349" spans="2:4" ht="16.5">
      <c r="B349" s="5"/>
      <c r="D349" s="5"/>
    </row>
    <row r="350" spans="2:4" ht="16.5">
      <c r="B350" s="5"/>
      <c r="D350" s="5"/>
    </row>
    <row r="351" spans="2:4" ht="16.5">
      <c r="B351" s="5"/>
      <c r="D351" s="5"/>
    </row>
    <row r="352" spans="2:4" ht="16.5">
      <c r="B352" s="5"/>
      <c r="D352" s="5"/>
    </row>
    <row r="353" spans="2:4" ht="16.5">
      <c r="B353" s="5"/>
      <c r="D353" s="5"/>
    </row>
    <row r="354" spans="2:4" ht="16.5">
      <c r="B354" s="5"/>
      <c r="D354" s="5"/>
    </row>
    <row r="355" spans="2:4" ht="16.5">
      <c r="B355" s="5"/>
      <c r="D355" s="5"/>
    </row>
    <row r="356" spans="2:4" ht="16.5">
      <c r="B356" s="5"/>
      <c r="D356" s="5"/>
    </row>
    <row r="357" spans="2:4" ht="16.5">
      <c r="B357" s="5"/>
      <c r="D357" s="5"/>
    </row>
    <row r="358" spans="2:4" ht="16.5">
      <c r="B358" s="5"/>
      <c r="D358" s="5"/>
    </row>
    <row r="359" spans="2:4" ht="16.5">
      <c r="B359" s="5"/>
      <c r="D359" s="5"/>
    </row>
    <row r="360" spans="2:4" ht="16.5">
      <c r="B360" s="5"/>
      <c r="D360" s="5"/>
    </row>
    <row r="361" spans="2:4" ht="16.5">
      <c r="B361" s="5"/>
      <c r="D361" s="5"/>
    </row>
    <row r="362" spans="2:4" ht="16.5">
      <c r="B362" s="5"/>
      <c r="D362" s="5"/>
    </row>
    <row r="363" spans="2:4" ht="16.5">
      <c r="B363" s="5"/>
      <c r="D363" s="5"/>
    </row>
    <row r="364" spans="2:4" ht="16.5">
      <c r="B364" s="5"/>
      <c r="D364" s="5"/>
    </row>
    <row r="365" spans="2:4" ht="16.5">
      <c r="B365" s="5"/>
      <c r="D365" s="5"/>
    </row>
    <row r="366" spans="2:4" ht="16.5">
      <c r="B366" s="5"/>
      <c r="D366" s="5"/>
    </row>
    <row r="367" spans="2:4" ht="16.5">
      <c r="B367" s="5"/>
      <c r="D367" s="5"/>
    </row>
    <row r="368" spans="2:4" ht="16.5">
      <c r="B368" s="5"/>
      <c r="D368" s="5"/>
    </row>
    <row r="369" spans="2:4" ht="16.5">
      <c r="B369" s="5"/>
      <c r="D369" s="5"/>
    </row>
    <row r="370" spans="2:4" ht="16.5">
      <c r="B370" s="5"/>
      <c r="D370" s="5"/>
    </row>
    <row r="371" spans="2:4" ht="16.5">
      <c r="B371" s="5"/>
      <c r="D371" s="5"/>
    </row>
    <row r="372" spans="2:4" ht="16.5">
      <c r="B372" s="5"/>
      <c r="D372" s="5"/>
    </row>
    <row r="373" spans="2:4" ht="16.5">
      <c r="B373" s="5"/>
      <c r="D373" s="5"/>
    </row>
    <row r="374" spans="2:4" ht="16.5">
      <c r="B374" s="5"/>
      <c r="D374" s="5"/>
    </row>
    <row r="375" spans="2:4" ht="16.5">
      <c r="B375" s="5"/>
      <c r="D375" s="5"/>
    </row>
    <row r="376" spans="2:4" ht="16.5">
      <c r="B376" s="5"/>
      <c r="D376" s="5"/>
    </row>
    <row r="377" spans="2:4" ht="16.5">
      <c r="B377" s="5"/>
      <c r="D377" s="5"/>
    </row>
    <row r="378" spans="2:4" ht="16.5">
      <c r="B378" s="5"/>
      <c r="D378" s="5"/>
    </row>
    <row r="379" spans="2:4" ht="16.5">
      <c r="B379" s="5"/>
      <c r="D379" s="5"/>
    </row>
    <row r="380" spans="2:4" ht="16.5">
      <c r="B380" s="5"/>
      <c r="D380" s="5"/>
    </row>
    <row r="381" spans="2:4" ht="16.5">
      <c r="B381" s="5"/>
      <c r="D381" s="5"/>
    </row>
    <row r="382" spans="2:4" ht="16.5">
      <c r="B382" s="5"/>
      <c r="D382" s="5"/>
    </row>
    <row r="383" spans="2:4" ht="16.5">
      <c r="B383" s="5"/>
      <c r="D383" s="5"/>
    </row>
    <row r="384" spans="2:4" ht="16.5">
      <c r="B384" s="5"/>
      <c r="D384" s="5"/>
    </row>
    <row r="385" spans="2:4" ht="16.5">
      <c r="B385" s="5"/>
      <c r="D385" s="5"/>
    </row>
    <row r="386" spans="2:4" ht="16.5">
      <c r="B386" s="5"/>
      <c r="D386" s="5"/>
    </row>
    <row r="387" spans="2:4" ht="16.5">
      <c r="B387" s="5"/>
      <c r="D387" s="5"/>
    </row>
    <row r="388" spans="2:4" ht="16.5">
      <c r="B388" s="5"/>
      <c r="D388" s="5"/>
    </row>
    <row r="389" spans="2:4" ht="16.5">
      <c r="B389" s="5"/>
      <c r="D389" s="5"/>
    </row>
    <row r="390" spans="2:4" ht="16.5">
      <c r="B390" s="5"/>
      <c r="D390" s="5"/>
    </row>
    <row r="391" spans="2:4" ht="16.5">
      <c r="B391" s="5"/>
      <c r="D391" s="5"/>
    </row>
    <row r="392" spans="2:4" ht="16.5">
      <c r="B392" s="5"/>
      <c r="D392" s="5"/>
    </row>
    <row r="393" spans="2:4" ht="16.5">
      <c r="B393" s="5"/>
      <c r="D393" s="5"/>
    </row>
    <row r="394" spans="2:4" ht="16.5">
      <c r="B394" s="5"/>
      <c r="D394" s="5"/>
    </row>
    <row r="395" spans="2:4" ht="16.5">
      <c r="B395" s="5"/>
      <c r="D395" s="5"/>
    </row>
  </sheetData>
  <autoFilter ref="A1:E238" xr:uid="{00000000-0001-0000-0300-000000000000}"/>
  <phoneticPr fontId="1" type="noConversion"/>
  <conditionalFormatting sqref="E2:E394">
    <cfRule type="cellIs" dxfId="1" priority="1" stopIfTrue="1" operator="equal">
      <formula>"No List"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42"/>
  </sheetPr>
  <dimension ref="A1:E200"/>
  <sheetViews>
    <sheetView showGridLines="0" workbookViewId="0">
      <pane ySplit="1" topLeftCell="A2" activePane="bottomLeft" state="frozen"/>
      <selection sqref="A1:IV1"/>
      <selection pane="bottomLeft"/>
    </sheetView>
  </sheetViews>
  <sheetFormatPr defaultColWidth="9" defaultRowHeight="15"/>
  <cols>
    <col min="1" max="1" width="12.875" style="2" bestFit="1" customWidth="1"/>
    <col min="2" max="5" width="12.125" style="2" bestFit="1" customWidth="1"/>
    <col min="6" max="16384" width="9" style="2"/>
  </cols>
  <sheetData>
    <row r="1" spans="1:5" ht="16.5">
      <c r="A1" s="4" t="s">
        <v>59</v>
      </c>
      <c r="B1" s="4" t="s">
        <v>60</v>
      </c>
      <c r="C1" s="4" t="s">
        <v>61</v>
      </c>
      <c r="D1" s="4" t="s">
        <v>62</v>
      </c>
      <c r="E1" s="4" t="s">
        <v>63</v>
      </c>
    </row>
    <row r="2" spans="1:5" ht="16.5">
      <c r="A2" s="2" t="s">
        <v>563</v>
      </c>
      <c r="B2" s="2" t="s">
        <v>70</v>
      </c>
      <c r="C2" s="2">
        <v>1</v>
      </c>
      <c r="D2" s="10" t="s">
        <v>229</v>
      </c>
      <c r="E2" s="2" t="s">
        <v>64</v>
      </c>
    </row>
    <row r="3" spans="1:5">
      <c r="A3" s="2" t="s">
        <v>563</v>
      </c>
      <c r="B3" s="2" t="s">
        <v>71</v>
      </c>
      <c r="C3" s="2">
        <v>1</v>
      </c>
      <c r="D3" s="2" t="s">
        <v>383</v>
      </c>
      <c r="E3" s="2" t="s">
        <v>64</v>
      </c>
    </row>
    <row r="4" spans="1:5">
      <c r="A4" s="2" t="s">
        <v>563</v>
      </c>
      <c r="B4" s="2" t="s">
        <v>33</v>
      </c>
      <c r="C4" s="2">
        <v>4</v>
      </c>
      <c r="D4" s="2" t="s">
        <v>157</v>
      </c>
      <c r="E4" s="2" t="s">
        <v>64</v>
      </c>
    </row>
    <row r="5" spans="1:5">
      <c r="A5" s="2" t="s">
        <v>563</v>
      </c>
      <c r="B5" s="2" t="s">
        <v>34</v>
      </c>
      <c r="C5" s="2">
        <v>4</v>
      </c>
      <c r="D5" s="2" t="s">
        <v>72</v>
      </c>
      <c r="E5" s="2" t="s">
        <v>64</v>
      </c>
    </row>
    <row r="6" spans="1:5">
      <c r="A6" s="2" t="s">
        <v>563</v>
      </c>
      <c r="B6" s="2" t="s">
        <v>354</v>
      </c>
      <c r="C6" s="2">
        <v>1</v>
      </c>
      <c r="D6" s="2" t="s">
        <v>57</v>
      </c>
      <c r="E6" s="2" t="s">
        <v>64</v>
      </c>
    </row>
    <row r="7" spans="1:5">
      <c r="A7" s="2" t="s">
        <v>563</v>
      </c>
      <c r="B7" s="2" t="s">
        <v>355</v>
      </c>
      <c r="C7" s="2">
        <v>1</v>
      </c>
      <c r="D7" s="2" t="s">
        <v>357</v>
      </c>
      <c r="E7" s="2" t="s">
        <v>64</v>
      </c>
    </row>
    <row r="8" spans="1:5">
      <c r="A8" s="2" t="s">
        <v>563</v>
      </c>
      <c r="B8" s="2" t="s">
        <v>415</v>
      </c>
      <c r="C8" s="2">
        <v>1</v>
      </c>
      <c r="D8" s="2" t="s">
        <v>95</v>
      </c>
      <c r="E8" s="2" t="s">
        <v>64</v>
      </c>
    </row>
    <row r="9" spans="1:5">
      <c r="A9" s="2" t="s">
        <v>563</v>
      </c>
      <c r="B9" s="2" t="s">
        <v>35</v>
      </c>
      <c r="C9" s="2">
        <v>4</v>
      </c>
      <c r="D9" s="2" t="s">
        <v>229</v>
      </c>
      <c r="E9" s="2" t="s">
        <v>64</v>
      </c>
    </row>
    <row r="10" spans="1:5">
      <c r="A10" s="2" t="s">
        <v>563</v>
      </c>
      <c r="B10" s="2" t="s">
        <v>37</v>
      </c>
      <c r="C10" s="2">
        <v>2</v>
      </c>
      <c r="D10" s="2" t="s">
        <v>154</v>
      </c>
      <c r="E10" s="2" t="s">
        <v>64</v>
      </c>
    </row>
    <row r="11" spans="1:5">
      <c r="A11" s="2" t="s">
        <v>563</v>
      </c>
      <c r="B11" s="2" t="s">
        <v>38</v>
      </c>
      <c r="C11" s="2">
        <v>2</v>
      </c>
      <c r="D11" s="2" t="s">
        <v>156</v>
      </c>
      <c r="E11" s="2" t="s">
        <v>64</v>
      </c>
    </row>
    <row r="12" spans="1:5">
      <c r="A12" s="2" t="s">
        <v>563</v>
      </c>
      <c r="B12" s="2" t="s">
        <v>158</v>
      </c>
      <c r="C12" s="2">
        <v>2</v>
      </c>
      <c r="D12" s="2" t="s">
        <v>175</v>
      </c>
      <c r="E12" s="2" t="s">
        <v>64</v>
      </c>
    </row>
    <row r="13" spans="1:5">
      <c r="A13" s="2" t="s">
        <v>563</v>
      </c>
      <c r="B13" s="2" t="s">
        <v>36</v>
      </c>
      <c r="C13" s="2">
        <v>2</v>
      </c>
      <c r="D13" s="2" t="s">
        <v>168</v>
      </c>
      <c r="E13" s="2" t="s">
        <v>64</v>
      </c>
    </row>
    <row r="14" spans="1:5">
      <c r="A14" s="2" t="s">
        <v>563</v>
      </c>
      <c r="B14" s="2" t="s">
        <v>233</v>
      </c>
      <c r="C14" s="2">
        <v>2</v>
      </c>
      <c r="D14" s="2" t="s">
        <v>58</v>
      </c>
      <c r="E14" s="2" t="s">
        <v>64</v>
      </c>
    </row>
    <row r="15" spans="1:5">
      <c r="A15" s="2" t="s">
        <v>563</v>
      </c>
      <c r="B15" s="2" t="s">
        <v>41</v>
      </c>
      <c r="C15" s="2">
        <v>2</v>
      </c>
      <c r="D15" s="2" t="s">
        <v>175</v>
      </c>
      <c r="E15" s="2" t="s">
        <v>64</v>
      </c>
    </row>
    <row r="16" spans="1:5">
      <c r="A16" s="2" t="s">
        <v>563</v>
      </c>
      <c r="B16" s="2" t="s">
        <v>39</v>
      </c>
      <c r="C16" s="2">
        <v>2</v>
      </c>
      <c r="D16" s="2" t="s">
        <v>263</v>
      </c>
      <c r="E16" s="2" t="s">
        <v>64</v>
      </c>
    </row>
    <row r="17" spans="1:5">
      <c r="A17" s="2" t="s">
        <v>563</v>
      </c>
      <c r="B17" s="2" t="s">
        <v>227</v>
      </c>
      <c r="C17" s="2">
        <v>1</v>
      </c>
      <c r="D17" s="2" t="s">
        <v>58</v>
      </c>
      <c r="E17" s="2" t="s">
        <v>64</v>
      </c>
    </row>
    <row r="18" spans="1:5">
      <c r="A18" s="2" t="s">
        <v>563</v>
      </c>
      <c r="B18" s="2" t="s">
        <v>227</v>
      </c>
      <c r="C18" s="2">
        <v>1</v>
      </c>
      <c r="D18" s="2" t="s">
        <v>154</v>
      </c>
      <c r="E18" s="2" t="s">
        <v>64</v>
      </c>
    </row>
    <row r="19" spans="1:5">
      <c r="A19" s="2" t="s">
        <v>563</v>
      </c>
      <c r="B19" s="2" t="s">
        <v>519</v>
      </c>
      <c r="C19" s="2">
        <v>1</v>
      </c>
      <c r="D19" s="2" t="s">
        <v>72</v>
      </c>
      <c r="E19" s="2" t="s">
        <v>64</v>
      </c>
    </row>
    <row r="20" spans="1:5">
      <c r="A20" s="2" t="s">
        <v>563</v>
      </c>
      <c r="B20" s="2" t="s">
        <v>410</v>
      </c>
      <c r="C20" s="2">
        <v>1</v>
      </c>
      <c r="D20" s="2" t="s">
        <v>174</v>
      </c>
      <c r="E20" s="2" t="s">
        <v>64</v>
      </c>
    </row>
    <row r="21" spans="1:5">
      <c r="A21" s="2" t="s">
        <v>563</v>
      </c>
      <c r="B21" s="2" t="s">
        <v>358</v>
      </c>
      <c r="C21" s="2">
        <v>0</v>
      </c>
      <c r="D21" s="2" t="s">
        <v>157</v>
      </c>
      <c r="E21" s="2" t="s">
        <v>64</v>
      </c>
    </row>
    <row r="22" spans="1:5">
      <c r="A22" s="2" t="s">
        <v>563</v>
      </c>
      <c r="B22" s="2" t="s">
        <v>164</v>
      </c>
      <c r="C22" s="2">
        <v>1</v>
      </c>
      <c r="D22" s="2" t="s">
        <v>157</v>
      </c>
      <c r="E22" s="2" t="s">
        <v>64</v>
      </c>
    </row>
    <row r="23" spans="1:5">
      <c r="A23" s="2" t="s">
        <v>563</v>
      </c>
      <c r="B23" s="2" t="s">
        <v>165</v>
      </c>
      <c r="C23" s="2">
        <v>1</v>
      </c>
      <c r="D23" s="2" t="s">
        <v>229</v>
      </c>
      <c r="E23" s="2" t="s">
        <v>64</v>
      </c>
    </row>
    <row r="24" spans="1:5">
      <c r="A24" s="2" t="s">
        <v>561</v>
      </c>
      <c r="B24" s="2" t="s">
        <v>70</v>
      </c>
      <c r="C24" s="2">
        <v>1</v>
      </c>
      <c r="D24" s="2" t="s">
        <v>72</v>
      </c>
      <c r="E24" s="2" t="s">
        <v>64</v>
      </c>
    </row>
    <row r="25" spans="1:5">
      <c r="A25" s="2" t="s">
        <v>561</v>
      </c>
      <c r="B25" s="2" t="s">
        <v>71</v>
      </c>
      <c r="C25" s="2">
        <v>1</v>
      </c>
      <c r="D25" s="2" t="s">
        <v>303</v>
      </c>
      <c r="E25" s="2" t="s">
        <v>64</v>
      </c>
    </row>
    <row r="26" spans="1:5">
      <c r="A26" s="2" t="s">
        <v>561</v>
      </c>
      <c r="B26" s="2" t="s">
        <v>33</v>
      </c>
      <c r="C26" s="2">
        <v>4</v>
      </c>
      <c r="D26" s="2" t="s">
        <v>157</v>
      </c>
      <c r="E26" s="2" t="s">
        <v>64</v>
      </c>
    </row>
    <row r="27" spans="1:5">
      <c r="A27" s="2" t="s">
        <v>561</v>
      </c>
      <c r="B27" s="2" t="s">
        <v>34</v>
      </c>
      <c r="C27" s="2">
        <v>4</v>
      </c>
      <c r="D27" s="2" t="s">
        <v>72</v>
      </c>
      <c r="E27" s="2" t="s">
        <v>64</v>
      </c>
    </row>
    <row r="28" spans="1:5">
      <c r="A28" s="2" t="s">
        <v>561</v>
      </c>
      <c r="B28" s="2" t="s">
        <v>354</v>
      </c>
      <c r="C28" s="2">
        <v>1</v>
      </c>
      <c r="D28" s="2" t="s">
        <v>57</v>
      </c>
      <c r="E28" s="2" t="s">
        <v>64</v>
      </c>
    </row>
    <row r="29" spans="1:5">
      <c r="A29" s="2" t="s">
        <v>561</v>
      </c>
      <c r="B29" s="2" t="s">
        <v>355</v>
      </c>
      <c r="C29" s="2">
        <v>1</v>
      </c>
      <c r="D29" s="2" t="s">
        <v>357</v>
      </c>
      <c r="E29" s="2" t="s">
        <v>64</v>
      </c>
    </row>
    <row r="30" spans="1:5">
      <c r="A30" s="2" t="s">
        <v>561</v>
      </c>
      <c r="B30" s="2" t="s">
        <v>415</v>
      </c>
      <c r="C30" s="2">
        <v>1</v>
      </c>
      <c r="D30" s="2" t="s">
        <v>95</v>
      </c>
      <c r="E30" s="2" t="s">
        <v>64</v>
      </c>
    </row>
    <row r="31" spans="1:5">
      <c r="A31" s="2" t="s">
        <v>561</v>
      </c>
      <c r="B31" s="2" t="s">
        <v>35</v>
      </c>
      <c r="C31" s="2">
        <v>4</v>
      </c>
      <c r="D31" s="2" t="s">
        <v>229</v>
      </c>
      <c r="E31" s="2" t="s">
        <v>64</v>
      </c>
    </row>
    <row r="32" spans="1:5">
      <c r="A32" s="2" t="s">
        <v>561</v>
      </c>
      <c r="B32" s="2" t="s">
        <v>37</v>
      </c>
      <c r="C32" s="2">
        <v>2</v>
      </c>
      <c r="D32" s="2" t="s">
        <v>154</v>
      </c>
      <c r="E32" s="2" t="s">
        <v>64</v>
      </c>
    </row>
    <row r="33" spans="1:5">
      <c r="A33" s="2" t="s">
        <v>561</v>
      </c>
      <c r="B33" s="2" t="s">
        <v>38</v>
      </c>
      <c r="C33" s="2">
        <v>2</v>
      </c>
      <c r="D33" s="2" t="s">
        <v>156</v>
      </c>
      <c r="E33" s="2" t="s">
        <v>64</v>
      </c>
    </row>
    <row r="34" spans="1:5">
      <c r="A34" s="2" t="s">
        <v>561</v>
      </c>
      <c r="B34" s="2" t="s">
        <v>158</v>
      </c>
      <c r="C34" s="2">
        <v>2</v>
      </c>
      <c r="D34" s="2" t="s">
        <v>175</v>
      </c>
      <c r="E34" s="2" t="s">
        <v>64</v>
      </c>
    </row>
    <row r="35" spans="1:5">
      <c r="A35" s="2" t="s">
        <v>561</v>
      </c>
      <c r="B35" s="2" t="s">
        <v>36</v>
      </c>
      <c r="C35" s="2">
        <v>2</v>
      </c>
      <c r="D35" s="2" t="s">
        <v>168</v>
      </c>
      <c r="E35" s="2" t="s">
        <v>64</v>
      </c>
    </row>
    <row r="36" spans="1:5" ht="16.5">
      <c r="A36" s="2" t="s">
        <v>561</v>
      </c>
      <c r="B36" s="2" t="s">
        <v>150</v>
      </c>
      <c r="C36" s="2">
        <v>2</v>
      </c>
      <c r="D36" s="10" t="s">
        <v>100</v>
      </c>
      <c r="E36" s="2" t="s">
        <v>64</v>
      </c>
    </row>
    <row r="37" spans="1:5">
      <c r="A37" s="2" t="s">
        <v>561</v>
      </c>
      <c r="B37" s="2" t="s">
        <v>41</v>
      </c>
      <c r="C37" s="2">
        <v>2</v>
      </c>
      <c r="D37" s="2" t="s">
        <v>175</v>
      </c>
      <c r="E37" s="2" t="s">
        <v>64</v>
      </c>
    </row>
    <row r="38" spans="1:5">
      <c r="A38" s="2" t="s">
        <v>561</v>
      </c>
      <c r="B38" s="2" t="s">
        <v>39</v>
      </c>
      <c r="C38" s="2">
        <v>2</v>
      </c>
      <c r="D38" s="2" t="s">
        <v>263</v>
      </c>
      <c r="E38" s="2" t="s">
        <v>64</v>
      </c>
    </row>
    <row r="39" spans="1:5">
      <c r="A39" s="2" t="s">
        <v>561</v>
      </c>
      <c r="B39" s="2" t="s">
        <v>227</v>
      </c>
      <c r="C39" s="2">
        <v>1</v>
      </c>
      <c r="D39" s="2" t="s">
        <v>58</v>
      </c>
      <c r="E39" s="2" t="s">
        <v>64</v>
      </c>
    </row>
    <row r="40" spans="1:5">
      <c r="A40" s="2" t="s">
        <v>561</v>
      </c>
      <c r="B40" s="2" t="s">
        <v>227</v>
      </c>
      <c r="C40" s="2">
        <v>1</v>
      </c>
      <c r="D40" s="2" t="s">
        <v>303</v>
      </c>
      <c r="E40" s="2" t="s">
        <v>64</v>
      </c>
    </row>
    <row r="41" spans="1:5">
      <c r="A41" s="2" t="s">
        <v>561</v>
      </c>
      <c r="B41" s="2" t="s">
        <v>269</v>
      </c>
      <c r="C41" s="2">
        <v>1</v>
      </c>
      <c r="D41" s="2" t="s">
        <v>229</v>
      </c>
      <c r="E41" s="2" t="s">
        <v>64</v>
      </c>
    </row>
    <row r="42" spans="1:5">
      <c r="A42" s="2" t="s">
        <v>561</v>
      </c>
      <c r="B42" s="2" t="s">
        <v>412</v>
      </c>
      <c r="C42" s="2">
        <v>0</v>
      </c>
      <c r="D42" s="2" t="s">
        <v>156</v>
      </c>
      <c r="E42" s="2" t="s">
        <v>64</v>
      </c>
    </row>
    <row r="43" spans="1:5">
      <c r="A43" s="2" t="s">
        <v>561</v>
      </c>
      <c r="B43" s="2" t="s">
        <v>359</v>
      </c>
      <c r="C43" s="2">
        <v>1</v>
      </c>
      <c r="D43" s="2" t="s">
        <v>287</v>
      </c>
      <c r="E43" s="2" t="s">
        <v>64</v>
      </c>
    </row>
    <row r="44" spans="1:5">
      <c r="A44" s="2" t="s">
        <v>561</v>
      </c>
      <c r="B44" s="2" t="s">
        <v>360</v>
      </c>
      <c r="C44" s="2">
        <v>0</v>
      </c>
      <c r="D44" s="2" t="s">
        <v>80</v>
      </c>
      <c r="E44" s="2" t="s">
        <v>64</v>
      </c>
    </row>
    <row r="45" spans="1:5">
      <c r="A45" s="2" t="s">
        <v>561</v>
      </c>
      <c r="B45" s="2" t="s">
        <v>163</v>
      </c>
      <c r="C45" s="2">
        <v>1</v>
      </c>
      <c r="D45" s="2" t="s">
        <v>94</v>
      </c>
      <c r="E45" s="2" t="s">
        <v>64</v>
      </c>
    </row>
    <row r="46" spans="1:5">
      <c r="A46" s="2" t="s">
        <v>561</v>
      </c>
      <c r="B46" s="2" t="s">
        <v>361</v>
      </c>
      <c r="C46" s="2">
        <v>1</v>
      </c>
      <c r="D46" s="2" t="s">
        <v>72</v>
      </c>
      <c r="E46" s="2" t="s">
        <v>64</v>
      </c>
    </row>
    <row r="47" spans="1:5">
      <c r="A47" s="2" t="s">
        <v>552</v>
      </c>
      <c r="B47" s="2" t="s">
        <v>620</v>
      </c>
      <c r="C47" s="2">
        <v>1</v>
      </c>
      <c r="D47" s="2" t="s">
        <v>621</v>
      </c>
      <c r="E47" s="2" t="s">
        <v>64</v>
      </c>
    </row>
    <row r="48" spans="1:5">
      <c r="A48" s="2" t="s">
        <v>552</v>
      </c>
      <c r="B48" s="2" t="s">
        <v>622</v>
      </c>
      <c r="C48" s="2">
        <v>1</v>
      </c>
      <c r="D48" s="2" t="s">
        <v>623</v>
      </c>
      <c r="E48" s="2" t="s">
        <v>200</v>
      </c>
    </row>
    <row r="49" spans="1:5" ht="16.5">
      <c r="A49" s="2" t="s">
        <v>552</v>
      </c>
      <c r="B49" s="2" t="s">
        <v>624</v>
      </c>
      <c r="C49" s="2">
        <v>4</v>
      </c>
      <c r="D49" s="10" t="s">
        <v>625</v>
      </c>
      <c r="E49" s="2" t="s">
        <v>64</v>
      </c>
    </row>
    <row r="50" spans="1:5">
      <c r="A50" s="2" t="s">
        <v>552</v>
      </c>
      <c r="B50" s="2" t="s">
        <v>626</v>
      </c>
      <c r="C50" s="2">
        <v>4</v>
      </c>
      <c r="D50" s="2" t="s">
        <v>627</v>
      </c>
      <c r="E50" s="2" t="s">
        <v>64</v>
      </c>
    </row>
    <row r="51" spans="1:5">
      <c r="A51" s="2" t="s">
        <v>552</v>
      </c>
      <c r="B51" s="2" t="s">
        <v>628</v>
      </c>
      <c r="C51" s="2">
        <v>4</v>
      </c>
      <c r="D51" s="2" t="s">
        <v>629</v>
      </c>
      <c r="E51" s="2" t="s">
        <v>64</v>
      </c>
    </row>
    <row r="52" spans="1:5">
      <c r="A52" s="2" t="s">
        <v>552</v>
      </c>
      <c r="B52" s="2" t="s">
        <v>630</v>
      </c>
      <c r="C52" s="2">
        <v>2</v>
      </c>
      <c r="D52" s="2" t="s">
        <v>631</v>
      </c>
      <c r="E52" s="2" t="s">
        <v>64</v>
      </c>
    </row>
    <row r="53" spans="1:5">
      <c r="A53" s="2" t="s">
        <v>552</v>
      </c>
      <c r="B53" s="2" t="s">
        <v>632</v>
      </c>
      <c r="C53" s="2">
        <v>2</v>
      </c>
      <c r="D53" s="2" t="s">
        <v>633</v>
      </c>
      <c r="E53" s="2" t="s">
        <v>64</v>
      </c>
    </row>
    <row r="54" spans="1:5">
      <c r="A54" s="2" t="s">
        <v>552</v>
      </c>
      <c r="B54" s="2" t="s">
        <v>634</v>
      </c>
      <c r="C54" s="2">
        <v>2</v>
      </c>
      <c r="D54" s="2" t="s">
        <v>621</v>
      </c>
      <c r="E54" s="2" t="s">
        <v>64</v>
      </c>
    </row>
    <row r="55" spans="1:5">
      <c r="A55" s="2" t="s">
        <v>552</v>
      </c>
      <c r="B55" s="2" t="s">
        <v>634</v>
      </c>
      <c r="C55" s="2">
        <v>2</v>
      </c>
      <c r="D55" s="2" t="s">
        <v>635</v>
      </c>
      <c r="E55" s="2" t="s">
        <v>64</v>
      </c>
    </row>
    <row r="56" spans="1:5">
      <c r="A56" s="2" t="s">
        <v>552</v>
      </c>
      <c r="B56" s="2" t="s">
        <v>636</v>
      </c>
      <c r="C56" s="2">
        <v>1</v>
      </c>
      <c r="D56" s="2" t="s">
        <v>637</v>
      </c>
      <c r="E56" s="2" t="s">
        <v>64</v>
      </c>
    </row>
    <row r="57" spans="1:5">
      <c r="A57" s="2" t="s">
        <v>552</v>
      </c>
      <c r="B57" s="2" t="s">
        <v>638</v>
      </c>
      <c r="C57" s="2">
        <v>1</v>
      </c>
      <c r="D57" s="2" t="s">
        <v>639</v>
      </c>
      <c r="E57" s="2" t="s">
        <v>64</v>
      </c>
    </row>
    <row r="58" spans="1:5">
      <c r="A58" s="2" t="s">
        <v>552</v>
      </c>
      <c r="B58" s="2" t="s">
        <v>640</v>
      </c>
      <c r="C58" s="2">
        <v>1</v>
      </c>
      <c r="D58" s="2" t="s">
        <v>641</v>
      </c>
      <c r="E58" s="2" t="s">
        <v>64</v>
      </c>
    </row>
    <row r="59" spans="1:5">
      <c r="A59" s="2" t="s">
        <v>552</v>
      </c>
      <c r="B59" s="2" t="s">
        <v>642</v>
      </c>
      <c r="C59" s="2">
        <v>2</v>
      </c>
      <c r="D59" s="2" t="s">
        <v>641</v>
      </c>
      <c r="E59" s="2" t="s">
        <v>64</v>
      </c>
    </row>
    <row r="60" spans="1:5">
      <c r="A60" s="2" t="s">
        <v>552</v>
      </c>
      <c r="B60" s="2" t="s">
        <v>643</v>
      </c>
      <c r="C60" s="2">
        <v>1</v>
      </c>
      <c r="D60" s="2" t="s">
        <v>644</v>
      </c>
      <c r="E60" s="2" t="s">
        <v>64</v>
      </c>
    </row>
    <row r="61" spans="1:5">
      <c r="A61" s="2" t="s">
        <v>552</v>
      </c>
      <c r="B61" s="2" t="s">
        <v>645</v>
      </c>
      <c r="C61" s="2">
        <v>2</v>
      </c>
      <c r="D61" s="2" t="s">
        <v>621</v>
      </c>
      <c r="E61" s="2" t="s">
        <v>64</v>
      </c>
    </row>
    <row r="62" spans="1:5">
      <c r="A62" s="2" t="s">
        <v>552</v>
      </c>
      <c r="B62" s="2" t="s">
        <v>609</v>
      </c>
      <c r="C62" s="2">
        <v>2</v>
      </c>
      <c r="D62" s="2" t="s">
        <v>175</v>
      </c>
      <c r="E62" s="2" t="s">
        <v>64</v>
      </c>
    </row>
    <row r="63" spans="1:5">
      <c r="A63" s="2" t="s">
        <v>552</v>
      </c>
      <c r="B63" s="2" t="s">
        <v>366</v>
      </c>
      <c r="C63" s="2">
        <v>1</v>
      </c>
      <c r="D63" s="2" t="s">
        <v>168</v>
      </c>
      <c r="E63" s="2" t="s">
        <v>64</v>
      </c>
    </row>
    <row r="64" spans="1:5">
      <c r="A64" s="2" t="s">
        <v>552</v>
      </c>
      <c r="B64" s="2" t="s">
        <v>566</v>
      </c>
      <c r="C64" s="2">
        <v>1</v>
      </c>
      <c r="D64" s="2" t="s">
        <v>168</v>
      </c>
      <c r="E64" s="2" t="s">
        <v>64</v>
      </c>
    </row>
    <row r="65" spans="1:5">
      <c r="A65" s="2" t="s">
        <v>552</v>
      </c>
      <c r="B65" s="2" t="s">
        <v>567</v>
      </c>
      <c r="C65" s="2">
        <v>1</v>
      </c>
      <c r="D65" s="2" t="s">
        <v>339</v>
      </c>
      <c r="E65" s="2" t="s">
        <v>64</v>
      </c>
    </row>
    <row r="66" spans="1:5">
      <c r="A66" s="2" t="s">
        <v>552</v>
      </c>
      <c r="B66" s="2" t="s">
        <v>568</v>
      </c>
      <c r="C66" s="2">
        <v>1</v>
      </c>
      <c r="D66" s="2" t="s">
        <v>339</v>
      </c>
      <c r="E66" s="2" t="s">
        <v>64</v>
      </c>
    </row>
    <row r="67" spans="1:5">
      <c r="A67" s="2" t="s">
        <v>552</v>
      </c>
      <c r="B67" s="2" t="s">
        <v>569</v>
      </c>
      <c r="C67" s="2">
        <v>1</v>
      </c>
      <c r="D67" s="2" t="s">
        <v>155</v>
      </c>
      <c r="E67" s="2" t="s">
        <v>64</v>
      </c>
    </row>
    <row r="68" spans="1:5">
      <c r="A68" s="2" t="s">
        <v>552</v>
      </c>
      <c r="B68" s="2" t="s">
        <v>378</v>
      </c>
      <c r="C68" s="2" t="s">
        <v>196</v>
      </c>
      <c r="D68" s="2" t="s">
        <v>168</v>
      </c>
      <c r="E68" s="2" t="s">
        <v>64</v>
      </c>
    </row>
    <row r="69" spans="1:5">
      <c r="A69" s="2" t="s">
        <v>555</v>
      </c>
      <c r="B69" s="2" t="s">
        <v>620</v>
      </c>
      <c r="C69" s="2">
        <v>1</v>
      </c>
      <c r="D69" s="2" t="s">
        <v>627</v>
      </c>
      <c r="E69" s="2" t="s">
        <v>64</v>
      </c>
    </row>
    <row r="70" spans="1:5">
      <c r="A70" s="2" t="s">
        <v>555</v>
      </c>
      <c r="B70" s="2" t="s">
        <v>622</v>
      </c>
      <c r="C70" s="2">
        <v>1</v>
      </c>
      <c r="D70" s="2" t="s">
        <v>646</v>
      </c>
      <c r="E70" s="2" t="s">
        <v>64</v>
      </c>
    </row>
    <row r="71" spans="1:5">
      <c r="A71" s="2" t="s">
        <v>555</v>
      </c>
      <c r="B71" s="2" t="s">
        <v>624</v>
      </c>
      <c r="C71" s="2">
        <v>4</v>
      </c>
      <c r="D71" s="2" t="s">
        <v>625</v>
      </c>
      <c r="E71" s="2" t="s">
        <v>64</v>
      </c>
    </row>
    <row r="72" spans="1:5">
      <c r="A72" s="2" t="s">
        <v>555</v>
      </c>
      <c r="B72" s="2" t="s">
        <v>626</v>
      </c>
      <c r="C72" s="2">
        <v>4</v>
      </c>
      <c r="D72" s="2" t="s">
        <v>627</v>
      </c>
      <c r="E72" s="2" t="s">
        <v>64</v>
      </c>
    </row>
    <row r="73" spans="1:5">
      <c r="A73" s="2" t="s">
        <v>555</v>
      </c>
      <c r="B73" s="2" t="s">
        <v>647</v>
      </c>
      <c r="C73" s="2">
        <v>4</v>
      </c>
      <c r="D73" s="2" t="s">
        <v>648</v>
      </c>
      <c r="E73" s="2" t="s">
        <v>64</v>
      </c>
    </row>
    <row r="74" spans="1:5">
      <c r="A74" s="2" t="s">
        <v>555</v>
      </c>
      <c r="B74" s="2" t="s">
        <v>630</v>
      </c>
      <c r="C74" s="2">
        <v>2</v>
      </c>
      <c r="D74" s="2" t="s">
        <v>631</v>
      </c>
      <c r="E74" s="2" t="s">
        <v>64</v>
      </c>
    </row>
    <row r="75" spans="1:5">
      <c r="A75" s="2" t="s">
        <v>555</v>
      </c>
      <c r="B75" s="2" t="s">
        <v>632</v>
      </c>
      <c r="C75" s="2">
        <v>2</v>
      </c>
      <c r="D75" s="2" t="s">
        <v>633</v>
      </c>
      <c r="E75" s="2" t="s">
        <v>64</v>
      </c>
    </row>
    <row r="76" spans="1:5">
      <c r="A76" s="2" t="s">
        <v>555</v>
      </c>
      <c r="B76" s="2" t="s">
        <v>634</v>
      </c>
      <c r="C76" s="2">
        <v>2</v>
      </c>
      <c r="D76" s="2" t="s">
        <v>621</v>
      </c>
      <c r="E76" s="2" t="s">
        <v>64</v>
      </c>
    </row>
    <row r="77" spans="1:5">
      <c r="A77" s="2" t="s">
        <v>555</v>
      </c>
      <c r="B77" s="2" t="s">
        <v>634</v>
      </c>
      <c r="C77" s="2">
        <v>2</v>
      </c>
      <c r="D77" s="2" t="s">
        <v>635</v>
      </c>
      <c r="E77" s="2" t="s">
        <v>64</v>
      </c>
    </row>
    <row r="78" spans="1:5">
      <c r="A78" s="2" t="s">
        <v>555</v>
      </c>
      <c r="B78" s="2" t="s">
        <v>636</v>
      </c>
      <c r="C78" s="2">
        <v>1</v>
      </c>
      <c r="D78" s="2" t="s">
        <v>637</v>
      </c>
      <c r="E78" s="2" t="s">
        <v>64</v>
      </c>
    </row>
    <row r="79" spans="1:5">
      <c r="A79" s="2" t="s">
        <v>555</v>
      </c>
      <c r="B79" s="2" t="s">
        <v>638</v>
      </c>
      <c r="C79" s="2">
        <v>1</v>
      </c>
      <c r="D79" s="2" t="s">
        <v>639</v>
      </c>
      <c r="E79" s="2" t="s">
        <v>64</v>
      </c>
    </row>
    <row r="80" spans="1:5">
      <c r="A80" s="2" t="s">
        <v>555</v>
      </c>
      <c r="B80" s="2" t="s">
        <v>640</v>
      </c>
      <c r="C80" s="2">
        <v>1</v>
      </c>
      <c r="D80" s="2" t="s">
        <v>649</v>
      </c>
      <c r="E80" s="2" t="s">
        <v>64</v>
      </c>
    </row>
    <row r="81" spans="1:5">
      <c r="A81" s="2" t="s">
        <v>555</v>
      </c>
      <c r="B81" s="2" t="s">
        <v>642</v>
      </c>
      <c r="C81" s="2">
        <v>2</v>
      </c>
      <c r="D81" s="2" t="s">
        <v>641</v>
      </c>
      <c r="E81" s="2" t="s">
        <v>64</v>
      </c>
    </row>
    <row r="82" spans="1:5">
      <c r="A82" s="2" t="s">
        <v>555</v>
      </c>
      <c r="B82" s="2" t="s">
        <v>643</v>
      </c>
      <c r="C82" s="2">
        <v>1</v>
      </c>
      <c r="D82" s="2" t="s">
        <v>644</v>
      </c>
      <c r="E82" s="2" t="s">
        <v>64</v>
      </c>
    </row>
    <row r="83" spans="1:5">
      <c r="A83" s="2" t="s">
        <v>555</v>
      </c>
      <c r="B83" s="2" t="s">
        <v>650</v>
      </c>
      <c r="C83" s="2">
        <v>2</v>
      </c>
      <c r="D83" s="2" t="s">
        <v>651</v>
      </c>
      <c r="E83" s="2" t="s">
        <v>64</v>
      </c>
    </row>
    <row r="84" spans="1:5">
      <c r="A84" s="2" t="s">
        <v>555</v>
      </c>
      <c r="B84" s="2" t="s">
        <v>652</v>
      </c>
      <c r="C84" s="2">
        <v>2</v>
      </c>
      <c r="D84" s="2" t="s">
        <v>653</v>
      </c>
      <c r="E84" s="2" t="s">
        <v>64</v>
      </c>
    </row>
    <row r="85" spans="1:5">
      <c r="A85" s="2" t="s">
        <v>555</v>
      </c>
      <c r="B85" s="2" t="s">
        <v>573</v>
      </c>
      <c r="C85" s="2">
        <v>1</v>
      </c>
      <c r="D85" s="2" t="s">
        <v>48</v>
      </c>
      <c r="E85" s="2" t="s">
        <v>64</v>
      </c>
    </row>
    <row r="86" spans="1:5">
      <c r="A86" s="2" t="s">
        <v>555</v>
      </c>
      <c r="B86" s="2" t="s">
        <v>570</v>
      </c>
      <c r="C86" s="2">
        <v>1</v>
      </c>
      <c r="D86" s="2" t="s">
        <v>153</v>
      </c>
      <c r="E86" s="2" t="s">
        <v>64</v>
      </c>
    </row>
    <row r="87" spans="1:5">
      <c r="A87" s="2" t="s">
        <v>555</v>
      </c>
      <c r="B87" s="2" t="s">
        <v>571</v>
      </c>
      <c r="C87" s="2">
        <v>0</v>
      </c>
      <c r="D87" s="2" t="s">
        <v>154</v>
      </c>
      <c r="E87" s="2" t="s">
        <v>64</v>
      </c>
    </row>
    <row r="88" spans="1:5">
      <c r="A88" s="2" t="s">
        <v>555</v>
      </c>
      <c r="B88" s="2" t="s">
        <v>572</v>
      </c>
      <c r="C88" s="2">
        <v>1</v>
      </c>
      <c r="D88" s="2" t="s">
        <v>153</v>
      </c>
      <c r="E88" s="2" t="s">
        <v>64</v>
      </c>
    </row>
    <row r="89" spans="1:5">
      <c r="A89" s="2" t="s">
        <v>555</v>
      </c>
      <c r="B89" s="2" t="s">
        <v>378</v>
      </c>
      <c r="C89" s="2" t="s">
        <v>196</v>
      </c>
      <c r="D89" s="2" t="s">
        <v>287</v>
      </c>
      <c r="E89" s="2" t="s">
        <v>64</v>
      </c>
    </row>
    <row r="90" spans="1:5">
      <c r="A90" s="2" t="s">
        <v>555</v>
      </c>
      <c r="B90" s="2" t="s">
        <v>378</v>
      </c>
      <c r="C90" s="2" t="s">
        <v>196</v>
      </c>
      <c r="D90" s="2" t="s">
        <v>56</v>
      </c>
      <c r="E90" s="2" t="s">
        <v>64</v>
      </c>
    </row>
    <row r="91" spans="1:5">
      <c r="A91" s="2" t="s">
        <v>544</v>
      </c>
      <c r="B91" s="2" t="s">
        <v>620</v>
      </c>
      <c r="C91" s="2">
        <v>1</v>
      </c>
      <c r="D91" s="2" t="s">
        <v>629</v>
      </c>
      <c r="E91" s="2" t="s">
        <v>64</v>
      </c>
    </row>
    <row r="92" spans="1:5">
      <c r="A92" s="2" t="s">
        <v>544</v>
      </c>
      <c r="B92" s="2" t="s">
        <v>622</v>
      </c>
      <c r="C92" s="2">
        <v>1</v>
      </c>
      <c r="D92" s="2" t="s">
        <v>629</v>
      </c>
      <c r="E92" s="2" t="s">
        <v>64</v>
      </c>
    </row>
    <row r="93" spans="1:5">
      <c r="A93" s="2" t="s">
        <v>544</v>
      </c>
      <c r="B93" s="2" t="s">
        <v>624</v>
      </c>
      <c r="C93" s="2">
        <v>4</v>
      </c>
      <c r="D93" s="2" t="s">
        <v>654</v>
      </c>
      <c r="E93" s="2" t="s">
        <v>64</v>
      </c>
    </row>
    <row r="94" spans="1:5">
      <c r="A94" s="2" t="s">
        <v>544</v>
      </c>
      <c r="B94" s="2" t="s">
        <v>626</v>
      </c>
      <c r="C94" s="2">
        <v>2</v>
      </c>
      <c r="D94" s="2" t="s">
        <v>655</v>
      </c>
      <c r="E94" s="2" t="s">
        <v>64</v>
      </c>
    </row>
    <row r="95" spans="1:5">
      <c r="A95" s="2" t="s">
        <v>544</v>
      </c>
      <c r="B95" s="2" t="s">
        <v>636</v>
      </c>
      <c r="C95" s="2">
        <v>1</v>
      </c>
      <c r="D95" s="2" t="s">
        <v>637</v>
      </c>
      <c r="E95" s="2" t="s">
        <v>64</v>
      </c>
    </row>
    <row r="96" spans="1:5">
      <c r="A96" s="2" t="s">
        <v>544</v>
      </c>
      <c r="B96" s="2" t="s">
        <v>638</v>
      </c>
      <c r="C96" s="2">
        <v>1</v>
      </c>
      <c r="D96" s="2" t="s">
        <v>639</v>
      </c>
      <c r="E96" s="2" t="s">
        <v>64</v>
      </c>
    </row>
    <row r="97" spans="1:5">
      <c r="A97" s="2" t="s">
        <v>544</v>
      </c>
      <c r="B97" s="2" t="s">
        <v>656</v>
      </c>
      <c r="C97" s="2">
        <v>1</v>
      </c>
      <c r="D97" s="2" t="s">
        <v>657</v>
      </c>
      <c r="E97" s="2" t="s">
        <v>64</v>
      </c>
    </row>
    <row r="98" spans="1:5">
      <c r="A98" s="2" t="s">
        <v>544</v>
      </c>
      <c r="B98" s="2" t="s">
        <v>658</v>
      </c>
      <c r="C98" s="2">
        <v>1</v>
      </c>
      <c r="D98" s="2" t="s">
        <v>659</v>
      </c>
      <c r="E98" s="2" t="s">
        <v>64</v>
      </c>
    </row>
    <row r="99" spans="1:5">
      <c r="A99" s="2" t="s">
        <v>544</v>
      </c>
      <c r="B99" s="2" t="s">
        <v>642</v>
      </c>
      <c r="C99" s="2">
        <v>2</v>
      </c>
      <c r="D99" s="2" t="s">
        <v>641</v>
      </c>
      <c r="E99" s="2" t="s">
        <v>64</v>
      </c>
    </row>
    <row r="100" spans="1:5">
      <c r="A100" s="2" t="s">
        <v>544</v>
      </c>
      <c r="B100" s="2" t="s">
        <v>660</v>
      </c>
      <c r="C100" s="2">
        <v>2</v>
      </c>
      <c r="D100" s="2" t="s">
        <v>655</v>
      </c>
      <c r="E100" s="2" t="s">
        <v>64</v>
      </c>
    </row>
    <row r="101" spans="1:5">
      <c r="A101" s="2" t="s">
        <v>544</v>
      </c>
      <c r="B101" s="2" t="s">
        <v>661</v>
      </c>
      <c r="C101" s="2">
        <v>4</v>
      </c>
      <c r="D101" s="2" t="s">
        <v>629</v>
      </c>
      <c r="E101" s="2" t="s">
        <v>64</v>
      </c>
    </row>
    <row r="102" spans="1:5">
      <c r="A102" s="2" t="s">
        <v>544</v>
      </c>
      <c r="B102" s="2" t="s">
        <v>662</v>
      </c>
      <c r="C102" s="2">
        <v>2</v>
      </c>
      <c r="D102" s="2" t="s">
        <v>621</v>
      </c>
      <c r="E102" s="2" t="s">
        <v>64</v>
      </c>
    </row>
    <row r="103" spans="1:5">
      <c r="A103" s="2" t="s">
        <v>544</v>
      </c>
      <c r="B103" s="2" t="s">
        <v>663</v>
      </c>
      <c r="C103" s="2">
        <v>1</v>
      </c>
      <c r="D103" s="2" t="s">
        <v>621</v>
      </c>
      <c r="E103" s="2" t="s">
        <v>64</v>
      </c>
    </row>
    <row r="104" spans="1:5">
      <c r="A104" s="2" t="s">
        <v>544</v>
      </c>
      <c r="B104" s="2" t="s">
        <v>664</v>
      </c>
      <c r="C104" s="2">
        <v>2</v>
      </c>
      <c r="D104" s="2" t="s">
        <v>665</v>
      </c>
      <c r="E104" s="2" t="s">
        <v>64</v>
      </c>
    </row>
    <row r="105" spans="1:5">
      <c r="A105" s="2" t="s">
        <v>544</v>
      </c>
      <c r="B105" s="2" t="s">
        <v>666</v>
      </c>
      <c r="C105" s="2">
        <v>1</v>
      </c>
      <c r="D105" s="2" t="s">
        <v>665</v>
      </c>
      <c r="E105" s="2" t="s">
        <v>64</v>
      </c>
    </row>
    <row r="106" spans="1:5">
      <c r="A106" s="2" t="s">
        <v>544</v>
      </c>
      <c r="B106" s="2" t="s">
        <v>667</v>
      </c>
      <c r="C106" s="2">
        <v>2</v>
      </c>
      <c r="D106" s="2" t="s">
        <v>635</v>
      </c>
      <c r="E106" s="2" t="s">
        <v>64</v>
      </c>
    </row>
    <row r="107" spans="1:5">
      <c r="A107" s="2" t="s">
        <v>544</v>
      </c>
      <c r="B107" s="2" t="s">
        <v>289</v>
      </c>
      <c r="C107" s="2">
        <v>2</v>
      </c>
      <c r="D107" s="2" t="s">
        <v>58</v>
      </c>
      <c r="E107" s="2" t="s">
        <v>64</v>
      </c>
    </row>
    <row r="108" spans="1:5">
      <c r="A108" s="2" t="s">
        <v>544</v>
      </c>
      <c r="B108" s="2" t="s">
        <v>286</v>
      </c>
      <c r="C108" s="2">
        <v>1</v>
      </c>
      <c r="D108" s="2" t="s">
        <v>168</v>
      </c>
      <c r="E108" s="2" t="s">
        <v>64</v>
      </c>
    </row>
    <row r="109" spans="1:5">
      <c r="A109" s="2" t="s">
        <v>544</v>
      </c>
      <c r="B109" s="2" t="s">
        <v>574</v>
      </c>
      <c r="C109" s="2">
        <v>1</v>
      </c>
      <c r="D109" s="2" t="s">
        <v>94</v>
      </c>
      <c r="E109" s="2" t="s">
        <v>64</v>
      </c>
    </row>
    <row r="110" spans="1:5">
      <c r="A110" s="2" t="s">
        <v>544</v>
      </c>
      <c r="B110" s="2" t="s">
        <v>448</v>
      </c>
      <c r="C110" s="2">
        <v>2</v>
      </c>
      <c r="D110" s="2" t="s">
        <v>58</v>
      </c>
      <c r="E110" s="2" t="s">
        <v>64</v>
      </c>
    </row>
    <row r="111" spans="1:5">
      <c r="A111" s="2" t="s">
        <v>544</v>
      </c>
      <c r="B111" s="2" t="s">
        <v>449</v>
      </c>
      <c r="C111" s="2">
        <v>2</v>
      </c>
      <c r="D111" s="2" t="s">
        <v>419</v>
      </c>
      <c r="E111" s="2" t="s">
        <v>64</v>
      </c>
    </row>
    <row r="112" spans="1:5">
      <c r="A112" s="2" t="s">
        <v>544</v>
      </c>
      <c r="B112" s="2" t="s">
        <v>575</v>
      </c>
      <c r="C112" s="2">
        <v>0</v>
      </c>
      <c r="D112" s="2" t="s">
        <v>268</v>
      </c>
      <c r="E112" s="2" t="s">
        <v>64</v>
      </c>
    </row>
    <row r="113" spans="1:5">
      <c r="A113" s="2" t="s">
        <v>544</v>
      </c>
      <c r="B113" s="2" t="s">
        <v>450</v>
      </c>
      <c r="C113" s="2">
        <v>1</v>
      </c>
      <c r="D113" s="2" t="s">
        <v>175</v>
      </c>
      <c r="E113" s="2" t="s">
        <v>64</v>
      </c>
    </row>
    <row r="114" spans="1:5">
      <c r="A114" s="2" t="s">
        <v>544</v>
      </c>
      <c r="B114" s="2" t="s">
        <v>273</v>
      </c>
      <c r="C114" s="2">
        <v>1</v>
      </c>
      <c r="D114" s="2" t="s">
        <v>268</v>
      </c>
      <c r="E114" s="2" t="s">
        <v>64</v>
      </c>
    </row>
    <row r="115" spans="1:5">
      <c r="A115" s="2" t="s">
        <v>544</v>
      </c>
      <c r="B115" s="2" t="s">
        <v>274</v>
      </c>
      <c r="C115" s="2">
        <v>1</v>
      </c>
      <c r="D115" s="2" t="s">
        <v>303</v>
      </c>
      <c r="E115" s="2" t="s">
        <v>64</v>
      </c>
    </row>
    <row r="116" spans="1:5">
      <c r="A116" s="2" t="s">
        <v>544</v>
      </c>
      <c r="B116" s="2" t="s">
        <v>576</v>
      </c>
      <c r="C116" s="2">
        <v>1</v>
      </c>
      <c r="D116" s="2" t="s">
        <v>500</v>
      </c>
      <c r="E116" s="2" t="s">
        <v>64</v>
      </c>
    </row>
    <row r="117" spans="1:5">
      <c r="A117" s="2" t="s">
        <v>544</v>
      </c>
      <c r="B117" s="2" t="s">
        <v>577</v>
      </c>
      <c r="C117" s="2">
        <v>1</v>
      </c>
      <c r="D117" s="2" t="s">
        <v>175</v>
      </c>
      <c r="E117" s="2" t="s">
        <v>64</v>
      </c>
    </row>
    <row r="118" spans="1:5">
      <c r="A118" s="2" t="s">
        <v>544</v>
      </c>
      <c r="B118" s="2" t="s">
        <v>578</v>
      </c>
      <c r="C118" s="2">
        <v>1</v>
      </c>
      <c r="D118" s="2" t="s">
        <v>168</v>
      </c>
      <c r="E118" s="2" t="s">
        <v>64</v>
      </c>
    </row>
    <row r="119" spans="1:5">
      <c r="A119" s="2" t="s">
        <v>547</v>
      </c>
      <c r="B119" s="2" t="s">
        <v>620</v>
      </c>
      <c r="C119" s="2">
        <v>1</v>
      </c>
      <c r="D119" s="2" t="s">
        <v>655</v>
      </c>
      <c r="E119" s="2" t="s">
        <v>64</v>
      </c>
    </row>
    <row r="120" spans="1:5">
      <c r="A120" s="2" t="s">
        <v>547</v>
      </c>
      <c r="B120" s="2" t="s">
        <v>622</v>
      </c>
      <c r="C120" s="2">
        <v>1</v>
      </c>
      <c r="D120" s="2" t="s">
        <v>655</v>
      </c>
      <c r="E120" s="2" t="s">
        <v>64</v>
      </c>
    </row>
    <row r="121" spans="1:5">
      <c r="A121" s="2" t="s">
        <v>547</v>
      </c>
      <c r="B121" s="2" t="s">
        <v>624</v>
      </c>
      <c r="C121" s="2">
        <v>4</v>
      </c>
      <c r="D121" s="2" t="s">
        <v>654</v>
      </c>
      <c r="E121" s="2" t="s">
        <v>64</v>
      </c>
    </row>
    <row r="122" spans="1:5">
      <c r="A122" s="2" t="s">
        <v>547</v>
      </c>
      <c r="B122" s="2" t="s">
        <v>626</v>
      </c>
      <c r="C122" s="2">
        <v>2</v>
      </c>
      <c r="D122" s="2" t="s">
        <v>655</v>
      </c>
      <c r="E122" s="2" t="s">
        <v>64</v>
      </c>
    </row>
    <row r="123" spans="1:5">
      <c r="A123" s="2" t="s">
        <v>547</v>
      </c>
      <c r="B123" s="2" t="s">
        <v>636</v>
      </c>
      <c r="C123" s="2">
        <v>1</v>
      </c>
      <c r="D123" s="2" t="s">
        <v>637</v>
      </c>
      <c r="E123" s="2" t="s">
        <v>64</v>
      </c>
    </row>
    <row r="124" spans="1:5">
      <c r="A124" s="2" t="s">
        <v>547</v>
      </c>
      <c r="B124" s="2" t="s">
        <v>638</v>
      </c>
      <c r="C124" s="2">
        <v>1</v>
      </c>
      <c r="D124" s="2" t="s">
        <v>639</v>
      </c>
      <c r="E124" s="2" t="s">
        <v>64</v>
      </c>
    </row>
    <row r="125" spans="1:5">
      <c r="A125" s="2" t="s">
        <v>547</v>
      </c>
      <c r="B125" s="2" t="s">
        <v>656</v>
      </c>
      <c r="C125" s="2">
        <v>1</v>
      </c>
      <c r="D125" s="2" t="s">
        <v>657</v>
      </c>
      <c r="E125" s="2" t="s">
        <v>64</v>
      </c>
    </row>
    <row r="126" spans="1:5" ht="16.5">
      <c r="A126" s="2" t="s">
        <v>547</v>
      </c>
      <c r="B126" s="2" t="s">
        <v>658</v>
      </c>
      <c r="C126" s="2">
        <v>1</v>
      </c>
      <c r="D126" s="10" t="s">
        <v>659</v>
      </c>
      <c r="E126" s="2" t="s">
        <v>64</v>
      </c>
    </row>
    <row r="127" spans="1:5">
      <c r="A127" s="2" t="s">
        <v>547</v>
      </c>
      <c r="B127" s="2" t="s">
        <v>642</v>
      </c>
      <c r="C127" s="2">
        <v>2</v>
      </c>
      <c r="D127" s="2" t="s">
        <v>641</v>
      </c>
      <c r="E127" s="2" t="s">
        <v>64</v>
      </c>
    </row>
    <row r="128" spans="1:5">
      <c r="A128" s="2" t="s">
        <v>547</v>
      </c>
      <c r="B128" s="2" t="s">
        <v>660</v>
      </c>
      <c r="C128" s="2">
        <v>2</v>
      </c>
      <c r="D128" s="2" t="s">
        <v>655</v>
      </c>
      <c r="E128" s="2" t="s">
        <v>64</v>
      </c>
    </row>
    <row r="129" spans="1:5">
      <c r="A129" s="2" t="s">
        <v>547</v>
      </c>
      <c r="B129" s="2" t="s">
        <v>668</v>
      </c>
      <c r="C129" s="2">
        <v>4</v>
      </c>
      <c r="D129" s="2" t="s">
        <v>648</v>
      </c>
      <c r="E129" s="2" t="s">
        <v>64</v>
      </c>
    </row>
    <row r="130" spans="1:5">
      <c r="A130" s="2" t="s">
        <v>547</v>
      </c>
      <c r="B130" s="2" t="s">
        <v>669</v>
      </c>
      <c r="C130" s="2">
        <v>3</v>
      </c>
      <c r="D130" s="2" t="s">
        <v>633</v>
      </c>
      <c r="E130" s="2" t="s">
        <v>64</v>
      </c>
    </row>
    <row r="131" spans="1:5">
      <c r="A131" s="2" t="s">
        <v>547</v>
      </c>
      <c r="B131" s="2" t="s">
        <v>670</v>
      </c>
      <c r="C131" s="2">
        <v>3</v>
      </c>
      <c r="D131" s="2" t="s">
        <v>631</v>
      </c>
      <c r="E131" s="2" t="s">
        <v>64</v>
      </c>
    </row>
    <row r="132" spans="1:5">
      <c r="A132" s="2" t="s">
        <v>547</v>
      </c>
      <c r="B132" s="2" t="s">
        <v>671</v>
      </c>
      <c r="C132" s="2">
        <v>3</v>
      </c>
      <c r="D132" s="2" t="s">
        <v>651</v>
      </c>
      <c r="E132" s="2" t="s">
        <v>64</v>
      </c>
    </row>
    <row r="133" spans="1:5">
      <c r="A133" s="2" t="s">
        <v>547</v>
      </c>
      <c r="B133" s="2" t="s">
        <v>672</v>
      </c>
      <c r="C133" s="2">
        <v>2</v>
      </c>
      <c r="D133" s="2" t="s">
        <v>649</v>
      </c>
      <c r="E133" s="2" t="s">
        <v>64</v>
      </c>
    </row>
    <row r="134" spans="1:5" ht="16.5">
      <c r="A134" s="2" t="s">
        <v>547</v>
      </c>
      <c r="B134" s="2" t="s">
        <v>673</v>
      </c>
      <c r="C134" s="2">
        <v>1</v>
      </c>
      <c r="D134" s="10" t="s">
        <v>655</v>
      </c>
      <c r="E134" s="2" t="s">
        <v>64</v>
      </c>
    </row>
    <row r="135" spans="1:5">
      <c r="A135" s="2" t="s">
        <v>547</v>
      </c>
      <c r="B135" s="2" t="s">
        <v>674</v>
      </c>
      <c r="C135" s="2">
        <v>1</v>
      </c>
      <c r="D135" s="2" t="s">
        <v>653</v>
      </c>
      <c r="E135" s="2" t="s">
        <v>64</v>
      </c>
    </row>
    <row r="136" spans="1:5">
      <c r="A136" s="2" t="s">
        <v>547</v>
      </c>
      <c r="B136" s="2" t="s">
        <v>675</v>
      </c>
      <c r="C136" s="2">
        <v>1</v>
      </c>
      <c r="D136" s="2" t="s">
        <v>651</v>
      </c>
      <c r="E136" s="2" t="s">
        <v>64</v>
      </c>
    </row>
    <row r="137" spans="1:5">
      <c r="A137" s="2" t="s">
        <v>547</v>
      </c>
      <c r="B137" s="2" t="s">
        <v>676</v>
      </c>
      <c r="C137" s="2">
        <v>1</v>
      </c>
      <c r="D137" s="2" t="s">
        <v>631</v>
      </c>
      <c r="E137" s="2" t="s">
        <v>64</v>
      </c>
    </row>
    <row r="138" spans="1:5">
      <c r="A138" s="2" t="s">
        <v>547</v>
      </c>
      <c r="B138" s="2" t="s">
        <v>677</v>
      </c>
      <c r="C138" s="2">
        <v>1</v>
      </c>
      <c r="D138" s="2" t="s">
        <v>655</v>
      </c>
      <c r="E138" s="2" t="s">
        <v>64</v>
      </c>
    </row>
    <row r="139" spans="1:5">
      <c r="A139" s="2" t="s">
        <v>547</v>
      </c>
      <c r="B139" s="2" t="s">
        <v>678</v>
      </c>
      <c r="C139" s="2">
        <v>1</v>
      </c>
      <c r="D139" s="2" t="s">
        <v>633</v>
      </c>
      <c r="E139" s="2" t="s">
        <v>64</v>
      </c>
    </row>
    <row r="140" spans="1:5">
      <c r="A140" s="2" t="s">
        <v>598</v>
      </c>
      <c r="B140" s="2" t="s">
        <v>620</v>
      </c>
      <c r="C140" s="2">
        <v>1</v>
      </c>
      <c r="D140" s="2" t="s">
        <v>631</v>
      </c>
      <c r="E140" s="2" t="s">
        <v>64</v>
      </c>
    </row>
    <row r="141" spans="1:5">
      <c r="A141" s="2" t="s">
        <v>598</v>
      </c>
      <c r="B141" s="2" t="s">
        <v>622</v>
      </c>
      <c r="C141" s="2">
        <v>1</v>
      </c>
      <c r="D141" s="2" t="s">
        <v>679</v>
      </c>
      <c r="E141" s="2" t="s">
        <v>64</v>
      </c>
    </row>
    <row r="142" spans="1:5">
      <c r="A142" s="2" t="s">
        <v>598</v>
      </c>
      <c r="B142" s="2" t="s">
        <v>624</v>
      </c>
      <c r="C142" s="2">
        <v>4</v>
      </c>
      <c r="D142" s="2" t="s">
        <v>680</v>
      </c>
      <c r="E142" s="2" t="s">
        <v>64</v>
      </c>
    </row>
    <row r="143" spans="1:5">
      <c r="A143" s="2" t="s">
        <v>598</v>
      </c>
      <c r="B143" s="2" t="s">
        <v>626</v>
      </c>
      <c r="C143" s="2">
        <v>4</v>
      </c>
      <c r="D143" s="2" t="s">
        <v>681</v>
      </c>
      <c r="E143" s="2" t="s">
        <v>64</v>
      </c>
    </row>
    <row r="144" spans="1:5">
      <c r="A144" s="2" t="s">
        <v>598</v>
      </c>
      <c r="B144" s="2" t="s">
        <v>682</v>
      </c>
      <c r="C144" s="2">
        <v>1</v>
      </c>
      <c r="D144" s="2" t="s">
        <v>683</v>
      </c>
      <c r="E144" s="2" t="s">
        <v>64</v>
      </c>
    </row>
    <row r="145" spans="1:5">
      <c r="A145" s="2" t="s">
        <v>598</v>
      </c>
      <c r="B145" s="2" t="s">
        <v>684</v>
      </c>
      <c r="C145" s="2">
        <v>1</v>
      </c>
      <c r="D145" s="2" t="s">
        <v>685</v>
      </c>
      <c r="E145" s="2" t="s">
        <v>64</v>
      </c>
    </row>
    <row r="146" spans="1:5">
      <c r="A146" s="2" t="s">
        <v>598</v>
      </c>
      <c r="B146" s="2" t="s">
        <v>686</v>
      </c>
      <c r="C146" s="2">
        <v>1</v>
      </c>
      <c r="D146" s="2" t="s">
        <v>687</v>
      </c>
      <c r="E146" s="2" t="s">
        <v>64</v>
      </c>
    </row>
    <row r="147" spans="1:5">
      <c r="A147" s="2" t="s">
        <v>598</v>
      </c>
      <c r="B147" s="2" t="s">
        <v>688</v>
      </c>
      <c r="C147" s="2">
        <v>4</v>
      </c>
      <c r="D147" s="2" t="s">
        <v>689</v>
      </c>
      <c r="E147" s="2" t="s">
        <v>64</v>
      </c>
    </row>
    <row r="148" spans="1:5">
      <c r="A148" s="2" t="s">
        <v>598</v>
      </c>
      <c r="B148" s="2" t="s">
        <v>690</v>
      </c>
      <c r="C148" s="2">
        <v>2</v>
      </c>
      <c r="D148" s="2" t="s">
        <v>651</v>
      </c>
      <c r="E148" s="2" t="s">
        <v>64</v>
      </c>
    </row>
    <row r="149" spans="1:5">
      <c r="A149" s="2" t="s">
        <v>598</v>
      </c>
      <c r="B149" s="2" t="s">
        <v>630</v>
      </c>
      <c r="C149" s="2">
        <v>2</v>
      </c>
      <c r="D149" s="2" t="s">
        <v>631</v>
      </c>
      <c r="E149" s="2" t="s">
        <v>64</v>
      </c>
    </row>
    <row r="150" spans="1:5">
      <c r="A150" s="2" t="s">
        <v>598</v>
      </c>
      <c r="B150" s="2" t="s">
        <v>691</v>
      </c>
      <c r="C150" s="2">
        <v>2</v>
      </c>
      <c r="D150" s="2" t="s">
        <v>692</v>
      </c>
      <c r="E150" s="2" t="s">
        <v>64</v>
      </c>
    </row>
    <row r="151" spans="1:5">
      <c r="A151" s="2" t="s">
        <v>598</v>
      </c>
      <c r="B151" s="2" t="s">
        <v>693</v>
      </c>
      <c r="C151" s="2">
        <v>2</v>
      </c>
      <c r="D151" s="2" t="s">
        <v>679</v>
      </c>
      <c r="E151" s="2" t="s">
        <v>64</v>
      </c>
    </row>
    <row r="152" spans="1:5">
      <c r="A152" s="2" t="s">
        <v>598</v>
      </c>
      <c r="B152" s="2" t="s">
        <v>642</v>
      </c>
      <c r="C152" s="2">
        <v>1</v>
      </c>
      <c r="D152" s="2" t="s">
        <v>649</v>
      </c>
      <c r="E152" s="2" t="s">
        <v>64</v>
      </c>
    </row>
    <row r="153" spans="1:5">
      <c r="A153" s="2" t="s">
        <v>598</v>
      </c>
      <c r="B153" s="2" t="s">
        <v>694</v>
      </c>
      <c r="C153" s="2">
        <v>1</v>
      </c>
      <c r="D153" s="2" t="s">
        <v>695</v>
      </c>
      <c r="E153" s="2" t="s">
        <v>64</v>
      </c>
    </row>
    <row r="154" spans="1:5">
      <c r="A154" s="2" t="s">
        <v>598</v>
      </c>
      <c r="B154" s="2" t="s">
        <v>696</v>
      </c>
      <c r="C154" s="2">
        <v>4</v>
      </c>
      <c r="D154" s="2" t="s">
        <v>697</v>
      </c>
      <c r="E154" s="2" t="s">
        <v>64</v>
      </c>
    </row>
    <row r="155" spans="1:5">
      <c r="A155" s="2" t="s">
        <v>598</v>
      </c>
      <c r="B155" s="2" t="s">
        <v>698</v>
      </c>
      <c r="C155" s="2">
        <v>4</v>
      </c>
      <c r="D155" s="2" t="s">
        <v>699</v>
      </c>
      <c r="E155" s="2" t="s">
        <v>64</v>
      </c>
    </row>
    <row r="156" spans="1:5">
      <c r="A156" s="2" t="s">
        <v>598</v>
      </c>
      <c r="B156" s="2" t="s">
        <v>700</v>
      </c>
      <c r="C156" s="2">
        <v>2</v>
      </c>
      <c r="D156" s="2" t="s">
        <v>701</v>
      </c>
      <c r="E156" s="2" t="s">
        <v>64</v>
      </c>
    </row>
    <row r="157" spans="1:5">
      <c r="A157" s="2" t="s">
        <v>558</v>
      </c>
      <c r="B157" s="2" t="s">
        <v>620</v>
      </c>
      <c r="C157" s="2">
        <v>1</v>
      </c>
      <c r="D157" s="2" t="s">
        <v>649</v>
      </c>
      <c r="E157" s="2" t="s">
        <v>64</v>
      </c>
    </row>
    <row r="158" spans="1:5">
      <c r="A158" s="2" t="s">
        <v>558</v>
      </c>
      <c r="B158" s="2" t="s">
        <v>622</v>
      </c>
      <c r="C158" s="2">
        <v>1</v>
      </c>
      <c r="D158" s="2" t="s">
        <v>649</v>
      </c>
      <c r="E158" s="2" t="s">
        <v>64</v>
      </c>
    </row>
    <row r="159" spans="1:5">
      <c r="A159" s="2" t="s">
        <v>558</v>
      </c>
      <c r="B159" s="2" t="s">
        <v>624</v>
      </c>
      <c r="C159" s="2">
        <v>4</v>
      </c>
      <c r="D159" s="2" t="s">
        <v>625</v>
      </c>
      <c r="E159" s="2" t="s">
        <v>64</v>
      </c>
    </row>
    <row r="160" spans="1:5">
      <c r="A160" s="2" t="s">
        <v>558</v>
      </c>
      <c r="B160" s="2" t="s">
        <v>626</v>
      </c>
      <c r="C160" s="2">
        <v>4</v>
      </c>
      <c r="D160" s="2" t="s">
        <v>627</v>
      </c>
      <c r="E160" s="2" t="s">
        <v>64</v>
      </c>
    </row>
    <row r="161" spans="1:5">
      <c r="A161" s="2" t="s">
        <v>558</v>
      </c>
      <c r="B161" s="2" t="s">
        <v>647</v>
      </c>
      <c r="C161" s="2">
        <v>4</v>
      </c>
      <c r="D161" s="2" t="s">
        <v>629</v>
      </c>
      <c r="E161" s="2" t="s">
        <v>64</v>
      </c>
    </row>
    <row r="162" spans="1:5">
      <c r="A162" s="2" t="s">
        <v>558</v>
      </c>
      <c r="B162" s="2" t="s">
        <v>690</v>
      </c>
      <c r="C162" s="2">
        <v>2</v>
      </c>
      <c r="D162" s="2" t="s">
        <v>702</v>
      </c>
      <c r="E162" s="2" t="s">
        <v>64</v>
      </c>
    </row>
    <row r="163" spans="1:5">
      <c r="A163" s="2" t="s">
        <v>558</v>
      </c>
      <c r="B163" s="2" t="s">
        <v>632</v>
      </c>
      <c r="C163" s="2">
        <v>2</v>
      </c>
      <c r="D163" s="2" t="s">
        <v>653</v>
      </c>
      <c r="E163" s="2" t="s">
        <v>64</v>
      </c>
    </row>
    <row r="164" spans="1:5">
      <c r="A164" s="2" t="s">
        <v>558</v>
      </c>
      <c r="B164" s="2" t="s">
        <v>565</v>
      </c>
      <c r="C164" s="2">
        <v>2</v>
      </c>
      <c r="D164" s="2" t="s">
        <v>175</v>
      </c>
      <c r="E164" s="2" t="s">
        <v>64</v>
      </c>
    </row>
    <row r="165" spans="1:5">
      <c r="A165" s="2" t="s">
        <v>558</v>
      </c>
      <c r="B165" s="2" t="s">
        <v>565</v>
      </c>
      <c r="C165" s="2">
        <v>2</v>
      </c>
      <c r="D165" s="2" t="s">
        <v>94</v>
      </c>
      <c r="E165" s="2" t="s">
        <v>64</v>
      </c>
    </row>
    <row r="166" spans="1:5">
      <c r="A166" s="2" t="s">
        <v>558</v>
      </c>
      <c r="B166" s="2" t="s">
        <v>39</v>
      </c>
      <c r="C166" s="2">
        <v>1</v>
      </c>
      <c r="D166" s="2" t="s">
        <v>263</v>
      </c>
      <c r="E166" s="2" t="s">
        <v>64</v>
      </c>
    </row>
    <row r="167" spans="1:5">
      <c r="A167" s="2" t="s">
        <v>558</v>
      </c>
      <c r="B167" s="2" t="s">
        <v>463</v>
      </c>
      <c r="C167" s="2">
        <v>1</v>
      </c>
      <c r="D167" s="2" t="s">
        <v>362</v>
      </c>
      <c r="E167" s="2" t="s">
        <v>64</v>
      </c>
    </row>
    <row r="168" spans="1:5" ht="16.5">
      <c r="A168" s="2" t="s">
        <v>558</v>
      </c>
      <c r="B168" s="2" t="s">
        <v>458</v>
      </c>
      <c r="C168" s="2">
        <v>1</v>
      </c>
      <c r="D168" s="10" t="s">
        <v>180</v>
      </c>
      <c r="E168" s="2" t="s">
        <v>64</v>
      </c>
    </row>
    <row r="169" spans="1:5">
      <c r="A169" s="2" t="s">
        <v>558</v>
      </c>
      <c r="B169" s="2" t="s">
        <v>279</v>
      </c>
      <c r="C169" s="2">
        <v>4</v>
      </c>
      <c r="D169" s="2" t="s">
        <v>611</v>
      </c>
      <c r="E169" s="2" t="s">
        <v>64</v>
      </c>
    </row>
    <row r="170" spans="1:5">
      <c r="A170" s="2" t="s">
        <v>558</v>
      </c>
      <c r="B170" s="2" t="s">
        <v>281</v>
      </c>
      <c r="C170" s="2">
        <v>4</v>
      </c>
      <c r="D170" s="2" t="s">
        <v>280</v>
      </c>
      <c r="E170" s="2" t="s">
        <v>64</v>
      </c>
    </row>
    <row r="171" spans="1:5">
      <c r="A171" s="2" t="s">
        <v>558</v>
      </c>
      <c r="B171" s="2" t="s">
        <v>367</v>
      </c>
      <c r="C171" s="2">
        <v>1</v>
      </c>
      <c r="D171" s="2" t="s">
        <v>263</v>
      </c>
      <c r="E171" s="2" t="s">
        <v>64</v>
      </c>
    </row>
    <row r="172" spans="1:5">
      <c r="A172" s="2" t="s">
        <v>558</v>
      </c>
      <c r="B172" s="2" t="s">
        <v>378</v>
      </c>
      <c r="C172" s="2" t="s">
        <v>196</v>
      </c>
      <c r="D172" s="2" t="s">
        <v>500</v>
      </c>
      <c r="E172" s="2" t="s">
        <v>64</v>
      </c>
    </row>
    <row r="173" spans="1:5">
      <c r="A173" s="2" t="s">
        <v>558</v>
      </c>
      <c r="B173" s="2" t="s">
        <v>181</v>
      </c>
      <c r="C173" s="2">
        <v>2</v>
      </c>
      <c r="D173" s="2" t="s">
        <v>611</v>
      </c>
      <c r="E173" s="2" t="s">
        <v>64</v>
      </c>
    </row>
    <row r="174" spans="1:5">
      <c r="A174" s="2" t="s">
        <v>550</v>
      </c>
      <c r="B174" s="2" t="s">
        <v>620</v>
      </c>
      <c r="C174" s="2">
        <v>1</v>
      </c>
      <c r="D174" s="2" t="s">
        <v>648</v>
      </c>
      <c r="E174" s="2" t="s">
        <v>64</v>
      </c>
    </row>
    <row r="175" spans="1:5">
      <c r="A175" s="2" t="s">
        <v>550</v>
      </c>
      <c r="B175" s="2" t="s">
        <v>622</v>
      </c>
      <c r="C175" s="2">
        <v>1</v>
      </c>
      <c r="D175" s="2" t="s">
        <v>625</v>
      </c>
      <c r="E175" s="2" t="s">
        <v>64</v>
      </c>
    </row>
    <row r="176" spans="1:5">
      <c r="A176" s="2" t="s">
        <v>550</v>
      </c>
      <c r="B176" s="2" t="s">
        <v>624</v>
      </c>
      <c r="C176" s="2">
        <v>4</v>
      </c>
      <c r="D176" s="2" t="s">
        <v>703</v>
      </c>
      <c r="E176" s="2" t="s">
        <v>64</v>
      </c>
    </row>
    <row r="177" spans="1:5">
      <c r="A177" s="2" t="s">
        <v>550</v>
      </c>
      <c r="B177" s="2" t="s">
        <v>626</v>
      </c>
      <c r="C177" s="2">
        <v>2</v>
      </c>
      <c r="D177" s="2" t="s">
        <v>655</v>
      </c>
      <c r="E177" s="2" t="s">
        <v>64</v>
      </c>
    </row>
    <row r="178" spans="1:5">
      <c r="A178" s="2" t="s">
        <v>550</v>
      </c>
      <c r="B178" s="2" t="s">
        <v>37</v>
      </c>
      <c r="C178" s="2">
        <v>1</v>
      </c>
      <c r="D178" s="2" t="s">
        <v>154</v>
      </c>
      <c r="E178" s="2" t="s">
        <v>64</v>
      </c>
    </row>
    <row r="179" spans="1:5">
      <c r="A179" s="2" t="s">
        <v>550</v>
      </c>
      <c r="B179" s="2" t="s">
        <v>38</v>
      </c>
      <c r="C179" s="2">
        <v>2</v>
      </c>
      <c r="D179" s="2" t="s">
        <v>156</v>
      </c>
      <c r="E179" s="2" t="s">
        <v>64</v>
      </c>
    </row>
    <row r="180" spans="1:5">
      <c r="A180" s="2" t="s">
        <v>550</v>
      </c>
      <c r="B180" s="2" t="s">
        <v>47</v>
      </c>
      <c r="C180" s="2">
        <v>1</v>
      </c>
      <c r="D180" s="2" t="s">
        <v>438</v>
      </c>
      <c r="E180" s="2" t="s">
        <v>64</v>
      </c>
    </row>
    <row r="181" spans="1:5">
      <c r="A181" s="2" t="s">
        <v>550</v>
      </c>
      <c r="B181" s="2" t="s">
        <v>40</v>
      </c>
      <c r="C181" s="2">
        <v>1</v>
      </c>
      <c r="D181" s="2" t="s">
        <v>20</v>
      </c>
      <c r="E181" s="2" t="s">
        <v>64</v>
      </c>
    </row>
    <row r="182" spans="1:5">
      <c r="A182" s="2" t="s">
        <v>550</v>
      </c>
      <c r="B182" s="2" t="s">
        <v>462</v>
      </c>
      <c r="C182" s="2">
        <v>1</v>
      </c>
      <c r="D182" s="2" t="s">
        <v>297</v>
      </c>
      <c r="E182" s="2" t="s">
        <v>64</v>
      </c>
    </row>
    <row r="183" spans="1:5">
      <c r="A183" s="2" t="s">
        <v>550</v>
      </c>
      <c r="B183" s="2" t="s">
        <v>541</v>
      </c>
      <c r="C183" s="2">
        <v>1</v>
      </c>
      <c r="D183" s="2" t="s">
        <v>95</v>
      </c>
      <c r="E183" s="2" t="s">
        <v>64</v>
      </c>
    </row>
    <row r="184" spans="1:5">
      <c r="A184" s="2" t="s">
        <v>550</v>
      </c>
      <c r="B184" s="2" t="s">
        <v>150</v>
      </c>
      <c r="C184" s="2">
        <v>2</v>
      </c>
      <c r="D184" s="2" t="s">
        <v>419</v>
      </c>
      <c r="E184" s="2" t="s">
        <v>64</v>
      </c>
    </row>
    <row r="185" spans="1:5">
      <c r="A185" s="2" t="s">
        <v>550</v>
      </c>
      <c r="B185" s="2" t="s">
        <v>279</v>
      </c>
      <c r="C185" s="2">
        <v>4</v>
      </c>
      <c r="D185" s="2" t="s">
        <v>180</v>
      </c>
      <c r="E185" s="2" t="s">
        <v>64</v>
      </c>
    </row>
    <row r="186" spans="1:5">
      <c r="A186" s="2" t="s">
        <v>550</v>
      </c>
      <c r="B186" s="2" t="s">
        <v>281</v>
      </c>
      <c r="C186" s="2">
        <v>4</v>
      </c>
      <c r="D186" s="2" t="s">
        <v>180</v>
      </c>
      <c r="E186" s="2" t="s">
        <v>64</v>
      </c>
    </row>
    <row r="187" spans="1:5">
      <c r="A187" s="2" t="s">
        <v>550</v>
      </c>
      <c r="B187" s="2" t="s">
        <v>271</v>
      </c>
      <c r="C187" s="2">
        <v>2</v>
      </c>
      <c r="D187" s="2" t="s">
        <v>177</v>
      </c>
      <c r="E187" s="2" t="s">
        <v>64</v>
      </c>
    </row>
    <row r="188" spans="1:5" ht="15.75">
      <c r="A188" s="171" t="s">
        <v>550</v>
      </c>
      <c r="B188" s="2" t="s">
        <v>275</v>
      </c>
      <c r="C188" s="2">
        <v>2</v>
      </c>
      <c r="D188" s="2" t="s">
        <v>174</v>
      </c>
      <c r="E188" s="2" t="s">
        <v>64</v>
      </c>
    </row>
    <row r="189" spans="1:5">
      <c r="A189" s="2" t="s">
        <v>550</v>
      </c>
      <c r="B189" s="2" t="s">
        <v>282</v>
      </c>
      <c r="C189" s="2">
        <v>1</v>
      </c>
      <c r="D189" s="2" t="s">
        <v>500</v>
      </c>
      <c r="E189" s="2" t="s">
        <v>64</v>
      </c>
    </row>
    <row r="190" spans="1:5">
      <c r="A190" s="2" t="s">
        <v>550</v>
      </c>
      <c r="B190" s="2" t="s">
        <v>405</v>
      </c>
      <c r="C190" s="2">
        <v>1</v>
      </c>
      <c r="D190" s="2" t="s">
        <v>168</v>
      </c>
      <c r="E190" s="2" t="s">
        <v>64</v>
      </c>
    </row>
    <row r="191" spans="1:5">
      <c r="A191" s="2" t="s">
        <v>550</v>
      </c>
      <c r="B191" s="2" t="s">
        <v>613</v>
      </c>
      <c r="C191" s="2">
        <v>1</v>
      </c>
      <c r="D191" s="2" t="s">
        <v>611</v>
      </c>
      <c r="E191" s="2" t="s">
        <v>64</v>
      </c>
    </row>
    <row r="192" spans="1:5">
      <c r="A192" s="2" t="s">
        <v>550</v>
      </c>
      <c r="B192" s="2" t="s">
        <v>276</v>
      </c>
      <c r="C192" s="2">
        <v>1</v>
      </c>
      <c r="D192" s="2" t="s">
        <v>500</v>
      </c>
      <c r="E192" s="2" t="s">
        <v>64</v>
      </c>
    </row>
    <row r="193" spans="1:5">
      <c r="A193" s="2" t="s">
        <v>550</v>
      </c>
      <c r="B193" s="2" t="s">
        <v>181</v>
      </c>
      <c r="C193" s="2">
        <v>1</v>
      </c>
      <c r="D193" s="2" t="s">
        <v>180</v>
      </c>
      <c r="E193" s="2" t="s">
        <v>64</v>
      </c>
    </row>
    <row r="194" spans="1:5">
      <c r="A194" s="2" t="s">
        <v>550</v>
      </c>
      <c r="B194" s="2" t="s">
        <v>181</v>
      </c>
      <c r="C194" s="2">
        <v>1</v>
      </c>
      <c r="D194" s="2" t="s">
        <v>375</v>
      </c>
      <c r="E194" s="2" t="s">
        <v>64</v>
      </c>
    </row>
    <row r="195" spans="1:5">
      <c r="B195" s="2" t="s">
        <v>271</v>
      </c>
      <c r="C195" s="2">
        <v>2</v>
      </c>
      <c r="D195" s="2" t="s">
        <v>291</v>
      </c>
    </row>
    <row r="196" spans="1:5">
      <c r="B196" s="2" t="s">
        <v>275</v>
      </c>
      <c r="C196" s="2">
        <v>2</v>
      </c>
      <c r="D196" s="2" t="s">
        <v>295</v>
      </c>
    </row>
    <row r="197" spans="1:5">
      <c r="B197" s="2" t="s">
        <v>282</v>
      </c>
      <c r="C197" s="2">
        <v>1</v>
      </c>
      <c r="D197" s="2" t="s">
        <v>424</v>
      </c>
    </row>
    <row r="198" spans="1:5">
      <c r="B198" s="2" t="s">
        <v>405</v>
      </c>
      <c r="C198" s="2">
        <v>1</v>
      </c>
      <c r="D198" s="2" t="s">
        <v>424</v>
      </c>
    </row>
    <row r="199" spans="1:5">
      <c r="B199" s="2" t="s">
        <v>276</v>
      </c>
      <c r="C199" s="2">
        <v>1</v>
      </c>
      <c r="D199" s="2" t="s">
        <v>270</v>
      </c>
    </row>
    <row r="200" spans="1:5">
      <c r="B200" s="2" t="s">
        <v>181</v>
      </c>
      <c r="C200" s="2">
        <v>1</v>
      </c>
      <c r="D200" s="2" t="s">
        <v>270</v>
      </c>
    </row>
  </sheetData>
  <autoFilter ref="A1:E200" xr:uid="{00000000-0001-0000-0400-000000000000}"/>
  <phoneticPr fontId="1" type="noConversion"/>
  <conditionalFormatting sqref="E2:E330">
    <cfRule type="cellIs" dxfId="0" priority="1" stopIfTrue="1" operator="equal">
      <formula>"No List"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國高中總表</vt:lpstr>
      <vt:lpstr>國中配課表</vt:lpstr>
      <vt:lpstr>高中配課表</vt:lpstr>
      <vt:lpstr>國中一覽表</vt:lpstr>
      <vt:lpstr>高中一覽表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USER</cp:lastModifiedBy>
  <cp:lastPrinted>2026-08-17T01:29:47Z</cp:lastPrinted>
  <dcterms:created xsi:type="dcterms:W3CDTF">2007-08-01T05:45:36Z</dcterms:created>
  <dcterms:modified xsi:type="dcterms:W3CDTF">2026-08-17T01:30:00Z</dcterms:modified>
</cp:coreProperties>
</file>